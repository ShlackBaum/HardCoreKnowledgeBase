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codeName="ЭтаКнига"/>
  <mc:AlternateContent xmlns:mc="http://schemas.openxmlformats.org/markup-compatibility/2006">
    <mc:Choice Requires="x15">
      <x15ac:absPath xmlns:x15ac="http://schemas.microsoft.com/office/spreadsheetml/2010/11/ac" url="C:\0-ShlackBaum-0\000---SEO-TEAM--000\я-Техпроцессное\Технический аудит и все-все-все\"/>
    </mc:Choice>
  </mc:AlternateContent>
  <xr:revisionPtr revIDLastSave="0" documentId="13_ncr:1_{89A6E376-F053-4DAE-BBDF-BEA08A9D3F88}" xr6:coauthVersionLast="47" xr6:coauthVersionMax="47" xr10:uidLastSave="{00000000-0000-0000-0000-000000000000}"/>
  <bookViews>
    <workbookView xWindow="-120" yWindow="-120" windowWidth="29040" windowHeight="15840" xr2:uid="{00000000-000D-0000-FFFF-FFFF00000000}"/>
  </bookViews>
  <sheets>
    <sheet name="Чек-лист ФЛАГМАН" sheetId="6" r:id="rId1"/>
    <sheet name="МИНИ чек-лист" sheetId="8" r:id="rId2"/>
    <sheet name="Полезные сервисы" sheetId="2" r:id="rId3"/>
    <sheet name="Важные уроки" sheetId="3" r:id="rId4"/>
    <sheet name="Ваша заполненная таблица КФ" sheetId="7" r:id="rId5"/>
  </sheets>
  <definedNames>
    <definedName name="_xlnm._FilterDatabase" localSheetId="0" hidden="1">'Чек-лист ФЛАГМАН'!$B$1:$B$189</definedName>
    <definedName name="URL">#REF!</definedName>
    <definedName name="Анализ_на_базе_результатов_Спайдера">'Чек-лист ФЛАГМАН'!$A$90</definedName>
    <definedName name="Вебмастер">'Чек-лист ФЛАГМАН'!$A$18</definedName>
    <definedName name="Внешняя_оптимизация">'Чек-лист ФЛАГМАН'!$A$7</definedName>
    <definedName name="Для_интернет_магазинов">'Чек-лист ФЛАГМАН'!$A$127</definedName>
    <definedName name="Для_информационных_сайтов">'Чек-лист ФЛАГМАН'!$A$159</definedName>
    <definedName name="Для_сайтов_услуг">'Чек-лист ФЛАГМАН'!$A$145</definedName>
    <definedName name="Дополнительно">'Чек-лист ФЛАГМАН'!$A$169</definedName>
    <definedName name="Исправить_редиректы._На_страницах_должны_быть_конечные_урлы">#REF!</definedName>
    <definedName name="Конкретизировать_url">#REF!</definedName>
    <definedName name="Метрика">'Чек-лист ФЛАГМАН'!$A$65</definedName>
    <definedName name="Настройка_сайта">'Чек-лист ФЛАГМАН'!$A$2</definedName>
    <definedName name="Начало">'Чек-лист ФЛАГМАН'!$I$2</definedName>
    <definedName name="Проблема">'Чек-лист ФЛАГМАН'!$A$1</definedName>
    <definedName name="Релевантность_шаблонов">'Чек-лист ФЛАГМАН'!$A$83</definedName>
    <definedName name="Смотрим_сайт_и_используем_сторонние_сервисы">'Чек-лист ФЛАГМАН'!$A$71</definedName>
    <definedName name="Советы_по_типам_сайтов">'Чек-лист ФЛАГМАН'!$A$125</definedName>
    <definedName name="Список_тайтлов_для_правки._В_каждый_должен_быть_вписать_Топоним">#REF!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6" i="7" l="1"/>
  <c r="J206" i="7"/>
  <c r="J205" i="7"/>
  <c r="K204" i="7"/>
  <c r="L204" i="7" s="1"/>
  <c r="K203" i="7"/>
  <c r="L203" i="7" s="1"/>
  <c r="K202" i="7"/>
  <c r="L202" i="7" s="1"/>
  <c r="K201" i="7"/>
  <c r="L201" i="7" s="1"/>
  <c r="K200" i="7"/>
  <c r="L200" i="7" s="1"/>
  <c r="K199" i="7"/>
  <c r="L199" i="7" s="1"/>
  <c r="K198" i="7"/>
  <c r="L198" i="7" s="1"/>
  <c r="K197" i="7"/>
  <c r="L197" i="7" s="1"/>
  <c r="K196" i="7"/>
  <c r="L196" i="7" s="1"/>
  <c r="K195" i="7"/>
  <c r="L195" i="7" s="1"/>
  <c r="K194" i="7"/>
  <c r="L194" i="7" s="1"/>
  <c r="K193" i="7"/>
  <c r="L193" i="7" s="1"/>
  <c r="K192" i="7"/>
  <c r="L192" i="7" s="1"/>
  <c r="K191" i="7"/>
  <c r="L191" i="7" s="1"/>
  <c r="K190" i="7"/>
  <c r="L190" i="7" s="1"/>
  <c r="K189" i="7"/>
  <c r="L189" i="7" s="1"/>
  <c r="K188" i="7"/>
  <c r="L188" i="7" s="1"/>
  <c r="K187" i="7"/>
  <c r="L187" i="7" s="1"/>
  <c r="K186" i="7"/>
  <c r="L186" i="7" s="1"/>
  <c r="K185" i="7"/>
  <c r="L185" i="7" s="1"/>
  <c r="K184" i="7"/>
  <c r="L184" i="7" s="1"/>
  <c r="K183" i="7"/>
  <c r="L183" i="7" s="1"/>
  <c r="K182" i="7"/>
  <c r="L182" i="7" s="1"/>
  <c r="K181" i="7"/>
  <c r="L181" i="7" s="1"/>
  <c r="L179" i="7"/>
  <c r="L178" i="7"/>
  <c r="L177" i="7"/>
  <c r="L176" i="7"/>
  <c r="L175" i="7"/>
  <c r="L174" i="7"/>
  <c r="L173" i="7"/>
  <c r="L172" i="7"/>
  <c r="L171" i="7"/>
  <c r="L170" i="7"/>
  <c r="L169" i="7"/>
  <c r="L168" i="7"/>
  <c r="L167" i="7"/>
  <c r="L166" i="7"/>
  <c r="L165" i="7"/>
  <c r="L164" i="7"/>
  <c r="L163" i="7"/>
  <c r="L162" i="7"/>
  <c r="K161" i="7"/>
  <c r="L161" i="7" s="1"/>
  <c r="K159" i="7"/>
  <c r="L159" i="7" s="1"/>
  <c r="K158" i="7"/>
  <c r="L158" i="7" s="1"/>
  <c r="K157" i="7"/>
  <c r="L157" i="7" s="1"/>
  <c r="K156" i="7"/>
  <c r="L156" i="7" s="1"/>
  <c r="K155" i="7"/>
  <c r="L155" i="7" s="1"/>
  <c r="K154" i="7"/>
  <c r="L154" i="7" s="1"/>
  <c r="K153" i="7"/>
  <c r="L153" i="7" s="1"/>
  <c r="K152" i="7"/>
  <c r="L152" i="7" s="1"/>
  <c r="K151" i="7"/>
  <c r="L151" i="7" s="1"/>
  <c r="K150" i="7"/>
  <c r="L150" i="7" s="1"/>
  <c r="K149" i="7"/>
  <c r="L149" i="7" s="1"/>
  <c r="K148" i="7"/>
  <c r="L148" i="7" s="1"/>
  <c r="K147" i="7"/>
  <c r="L147" i="7" s="1"/>
  <c r="K146" i="7"/>
  <c r="L146" i="7" s="1"/>
  <c r="K145" i="7"/>
  <c r="L145" i="7" s="1"/>
  <c r="K144" i="7"/>
  <c r="L144" i="7" s="1"/>
  <c r="K143" i="7"/>
  <c r="L143" i="7" s="1"/>
  <c r="K142" i="7"/>
  <c r="L142" i="7" s="1"/>
  <c r="K141" i="7"/>
  <c r="L141" i="7" s="1"/>
  <c r="K140" i="7"/>
  <c r="L140" i="7" s="1"/>
  <c r="K139" i="7"/>
  <c r="L139" i="7" s="1"/>
  <c r="K138" i="7"/>
  <c r="L138" i="7" s="1"/>
  <c r="K137" i="7"/>
  <c r="L137" i="7" s="1"/>
  <c r="K136" i="7"/>
  <c r="L136" i="7" s="1"/>
  <c r="K135" i="7"/>
  <c r="L135" i="7" s="1"/>
  <c r="K134" i="7"/>
  <c r="L134" i="7" s="1"/>
  <c r="K133" i="7"/>
  <c r="L133" i="7" s="1"/>
  <c r="K132" i="7"/>
  <c r="L132" i="7" s="1"/>
  <c r="K131" i="7"/>
  <c r="L131" i="7" s="1"/>
  <c r="K130" i="7"/>
  <c r="L130" i="7" s="1"/>
  <c r="K129" i="7"/>
  <c r="L129" i="7" s="1"/>
  <c r="K128" i="7"/>
  <c r="L128" i="7" s="1"/>
  <c r="K127" i="7"/>
  <c r="L127" i="7" s="1"/>
  <c r="K126" i="7"/>
  <c r="L126" i="7" s="1"/>
  <c r="K125" i="7"/>
  <c r="L125" i="7" s="1"/>
  <c r="K124" i="7"/>
  <c r="L124" i="7" s="1"/>
  <c r="K122" i="7"/>
  <c r="L122" i="7" s="1"/>
  <c r="K121" i="7"/>
  <c r="L121" i="7" s="1"/>
  <c r="K120" i="7"/>
  <c r="L120" i="7" s="1"/>
  <c r="K119" i="7"/>
  <c r="L119" i="7" s="1"/>
  <c r="K118" i="7"/>
  <c r="L118" i="7" s="1"/>
  <c r="K117" i="7"/>
  <c r="L117" i="7" s="1"/>
  <c r="K116" i="7"/>
  <c r="L116" i="7" s="1"/>
  <c r="K115" i="7"/>
  <c r="L115" i="7" s="1"/>
  <c r="K114" i="7"/>
  <c r="L114" i="7" s="1"/>
  <c r="K113" i="7"/>
  <c r="L113" i="7" s="1"/>
  <c r="K112" i="7"/>
  <c r="L112" i="7" s="1"/>
  <c r="K111" i="7"/>
  <c r="L111" i="7" s="1"/>
  <c r="K110" i="7"/>
  <c r="L110" i="7" s="1"/>
  <c r="K109" i="7"/>
  <c r="L109" i="7" s="1"/>
  <c r="K108" i="7"/>
  <c r="L108" i="7" s="1"/>
  <c r="K107" i="7"/>
  <c r="L107" i="7" s="1"/>
  <c r="K106" i="7"/>
  <c r="L106" i="7" s="1"/>
  <c r="K105" i="7"/>
  <c r="L105" i="7" s="1"/>
  <c r="K104" i="7"/>
  <c r="L104" i="7" s="1"/>
  <c r="K103" i="7"/>
  <c r="L103" i="7" s="1"/>
  <c r="K102" i="7"/>
  <c r="L102" i="7" s="1"/>
  <c r="K101" i="7"/>
  <c r="L101" i="7" s="1"/>
  <c r="K100" i="7"/>
  <c r="L100" i="7" s="1"/>
  <c r="K99" i="7"/>
  <c r="L99" i="7" s="1"/>
  <c r="K98" i="7"/>
  <c r="L98" i="7" s="1"/>
  <c r="K96" i="7"/>
  <c r="L96" i="7" s="1"/>
  <c r="K95" i="7"/>
  <c r="L95" i="7" s="1"/>
  <c r="K94" i="7"/>
  <c r="L94" i="7" s="1"/>
  <c r="K93" i="7"/>
  <c r="L93" i="7" s="1"/>
  <c r="K92" i="7"/>
  <c r="L92" i="7" s="1"/>
  <c r="K91" i="7"/>
  <c r="L91" i="7" s="1"/>
  <c r="K90" i="7"/>
  <c r="L90" i="7" s="1"/>
  <c r="K89" i="7"/>
  <c r="L89" i="7" s="1"/>
  <c r="K88" i="7"/>
  <c r="L88" i="7" s="1"/>
  <c r="K87" i="7"/>
  <c r="L87" i="7" s="1"/>
  <c r="K86" i="7"/>
  <c r="L86" i="7" s="1"/>
  <c r="K85" i="7"/>
  <c r="L85" i="7" s="1"/>
  <c r="K84" i="7"/>
  <c r="L84" i="7" s="1"/>
  <c r="K83" i="7"/>
  <c r="L83" i="7" s="1"/>
  <c r="K82" i="7"/>
  <c r="L82" i="7" s="1"/>
  <c r="K81" i="7"/>
  <c r="L81" i="7" s="1"/>
  <c r="K80" i="7"/>
  <c r="L80" i="7" s="1"/>
  <c r="K79" i="7"/>
  <c r="L79" i="7" s="1"/>
  <c r="K78" i="7"/>
  <c r="L78" i="7" s="1"/>
  <c r="K77" i="7"/>
  <c r="L77" i="7" s="1"/>
  <c r="K76" i="7"/>
  <c r="L76" i="7" s="1"/>
  <c r="K75" i="7"/>
  <c r="L75" i="7" s="1"/>
  <c r="K74" i="7"/>
  <c r="L74" i="7" s="1"/>
  <c r="K73" i="7"/>
  <c r="L73" i="7" s="1"/>
  <c r="K72" i="7"/>
  <c r="L72" i="7" s="1"/>
  <c r="K71" i="7"/>
  <c r="L71" i="7" s="1"/>
  <c r="K70" i="7"/>
  <c r="L70" i="7" s="1"/>
  <c r="K69" i="7"/>
  <c r="L69" i="7" s="1"/>
  <c r="K68" i="7"/>
  <c r="L68" i="7" s="1"/>
  <c r="K67" i="7"/>
  <c r="L67" i="7" s="1"/>
  <c r="K66" i="7"/>
  <c r="L66" i="7" s="1"/>
  <c r="K65" i="7"/>
  <c r="L65" i="7" s="1"/>
  <c r="K64" i="7"/>
  <c r="L64" i="7" s="1"/>
  <c r="K63" i="7"/>
  <c r="L63" i="7" s="1"/>
  <c r="K62" i="7"/>
  <c r="L62" i="7" s="1"/>
  <c r="K61" i="7"/>
  <c r="L61" i="7" s="1"/>
  <c r="K60" i="7"/>
  <c r="L60" i="7" s="1"/>
  <c r="K59" i="7"/>
  <c r="L59" i="7" s="1"/>
  <c r="K58" i="7"/>
  <c r="L58" i="7" s="1"/>
  <c r="K57" i="7"/>
  <c r="L57" i="7" s="1"/>
  <c r="K56" i="7"/>
  <c r="L56" i="7" s="1"/>
  <c r="K55" i="7"/>
  <c r="L55" i="7" s="1"/>
  <c r="K54" i="7"/>
  <c r="L54" i="7" s="1"/>
  <c r="K53" i="7"/>
  <c r="L53" i="7" s="1"/>
  <c r="K51" i="7"/>
  <c r="L51" i="7" s="1"/>
  <c r="K50" i="7"/>
  <c r="L50" i="7" s="1"/>
  <c r="K49" i="7"/>
  <c r="L49" i="7" s="1"/>
  <c r="K48" i="7"/>
  <c r="L48" i="7" s="1"/>
  <c r="K47" i="7"/>
  <c r="L47" i="7" s="1"/>
  <c r="K46" i="7"/>
  <c r="L46" i="7" s="1"/>
  <c r="K45" i="7"/>
  <c r="L45" i="7" s="1"/>
  <c r="K44" i="7"/>
  <c r="L44" i="7" s="1"/>
  <c r="K43" i="7"/>
  <c r="L43" i="7" s="1"/>
  <c r="K42" i="7"/>
  <c r="L42" i="7" s="1"/>
  <c r="K41" i="7"/>
  <c r="L41" i="7" s="1"/>
  <c r="K40" i="7"/>
  <c r="L40" i="7" s="1"/>
  <c r="K39" i="7"/>
  <c r="L39" i="7" s="1"/>
  <c r="K38" i="7"/>
  <c r="L38" i="7" s="1"/>
  <c r="K37" i="7"/>
  <c r="L37" i="7" s="1"/>
  <c r="K36" i="7"/>
  <c r="L36" i="7" s="1"/>
  <c r="K35" i="7"/>
  <c r="L35" i="7" s="1"/>
  <c r="K34" i="7"/>
  <c r="L34" i="7" s="1"/>
  <c r="K33" i="7"/>
  <c r="L33" i="7" s="1"/>
  <c r="K32" i="7"/>
  <c r="L32" i="7" s="1"/>
  <c r="K31" i="7"/>
  <c r="L31" i="7" s="1"/>
  <c r="K30" i="7"/>
  <c r="L30" i="7" s="1"/>
  <c r="K29" i="7"/>
  <c r="L29" i="7" s="1"/>
  <c r="K28" i="7"/>
  <c r="L28" i="7" s="1"/>
  <c r="K27" i="7"/>
  <c r="L27" i="7" s="1"/>
  <c r="K26" i="7"/>
  <c r="L26" i="7" s="1"/>
  <c r="K25" i="7"/>
  <c r="L25" i="7" s="1"/>
  <c r="K24" i="7"/>
  <c r="L24" i="7" s="1"/>
  <c r="K23" i="7"/>
  <c r="L23" i="7" s="1"/>
  <c r="K22" i="7"/>
  <c r="L22" i="7" s="1"/>
  <c r="K21" i="7"/>
  <c r="L21" i="7" s="1"/>
  <c r="K20" i="7"/>
  <c r="L20" i="7" s="1"/>
  <c r="K19" i="7"/>
  <c r="L19" i="7" s="1"/>
  <c r="K18" i="7"/>
  <c r="L18" i="7" s="1"/>
  <c r="K17" i="7"/>
  <c r="L17" i="7" s="1"/>
  <c r="K16" i="7"/>
  <c r="L16" i="7" s="1"/>
  <c r="K15" i="7"/>
  <c r="L15" i="7" s="1"/>
  <c r="K14" i="7"/>
  <c r="L14" i="7" s="1"/>
  <c r="K13" i="7"/>
  <c r="L13" i="7" s="1"/>
  <c r="K12" i="7"/>
  <c r="L12" i="7" s="1"/>
  <c r="K11" i="7"/>
  <c r="L11" i="7" s="1"/>
  <c r="K10" i="7"/>
  <c r="L10" i="7" s="1"/>
  <c r="K9" i="7"/>
  <c r="L9" i="7" s="1"/>
  <c r="K8" i="7"/>
  <c r="L8" i="7" s="1"/>
  <c r="K7" i="7"/>
  <c r="L7" i="7" s="1"/>
  <c r="K6" i="7"/>
  <c r="L6" i="7" s="1"/>
  <c r="K5" i="7"/>
  <c r="L5" i="7" s="1"/>
  <c r="K4" i="7"/>
  <c r="L4" i="7" s="1"/>
  <c r="L206" i="7" l="1"/>
  <c r="K205" i="7"/>
  <c r="L205" i="7" s="1"/>
</calcChain>
</file>

<file path=xl/sharedStrings.xml><?xml version="1.0" encoding="utf-8"?>
<sst xmlns="http://schemas.openxmlformats.org/spreadsheetml/2006/main" count="1124" uniqueCount="741">
  <si>
    <t>SEO</t>
  </si>
  <si>
    <t>Советы по типам сайтов</t>
  </si>
  <si>
    <t>Яндекс Метрика</t>
  </si>
  <si>
    <t xml:space="preserve">Необходимо установить счетчик Яндекс Метрики на сайт. https://metrika.yandex.ru
Инструкция: https://yandex.ru/support/metrika/general/creating-counter.html
</t>
  </si>
  <si>
    <t>Яндекс Вебмастер</t>
  </si>
  <si>
    <r>
      <rPr>
        <b/>
        <sz val="14"/>
        <rFont val="Calibri"/>
        <family val="2"/>
        <charset val="204"/>
      </rPr>
      <t>Пример:</t>
    </r>
    <r>
      <rPr>
        <sz val="14"/>
        <rFont val="Calibri"/>
        <family val="2"/>
        <charset val="204"/>
      </rPr>
      <t xml:space="preserve">
https://yadi.sk/i/G6qOmX4PSyt63w</t>
    </r>
  </si>
  <si>
    <t>Google Search Console</t>
  </si>
  <si>
    <t>ПРИСВОЕНИЕ РЕГИОНА КРИТИЧЕСКИ ВАЖНО ДЛЯ ПРОДВИЖЕНИЯ В ЭТОМ РЕГИОНЕ ПОД ЯНДЕКС</t>
  </si>
  <si>
    <r>
      <rPr>
        <b/>
        <sz val="14"/>
        <color rgb="FF000000"/>
        <rFont val="Calibri"/>
        <family val="2"/>
        <charset val="204"/>
      </rPr>
      <t>Пример:</t>
    </r>
    <r>
      <rPr>
        <sz val="14"/>
        <color rgb="FF000000"/>
        <rFont val="Calibri"/>
        <family val="2"/>
        <charset val="204"/>
      </rPr>
      <t xml:space="preserve">
https://www.dropbox.com/s/3bie7o57to1dti1/2020-06-07_09-59-22.png?dl=0</t>
    </r>
  </si>
  <si>
    <t>Кроссбраузерность</t>
  </si>
  <si>
    <t>Кроссплатформенность</t>
  </si>
  <si>
    <t>Необходимо детально протестировать сайт на корректность отображения на всех возможных аппаратных платформах и операционных системах (Windows, Android, Linux, Mac OS и т.д.)</t>
  </si>
  <si>
    <t>Адаптивность</t>
  </si>
  <si>
    <t>Валидность HTML</t>
  </si>
  <si>
    <t>Микроразметка данных о компании (адрес, город, индекс, телефон, почта)</t>
  </si>
  <si>
    <t xml:space="preserve">Необходимо проверить наличие микроразметки на странице Контакты. В случае наличия ошибок - исправить. 
Проверка под Яндекс:
https://webmaster.yandex.ru/tools/microtest/
Проверка под Google: https://search.google.com/structured-data/testing-tool
При отсутствии мирокразметки - создать:
https://yandex.ru/support/webmaster/schema-org/what-is-schema-org.html </t>
  </si>
  <si>
    <r>
      <rPr>
        <b/>
        <sz val="14"/>
        <rFont val="Calibri"/>
        <family val="2"/>
        <charset val="204"/>
      </rPr>
      <t>Пример:</t>
    </r>
    <r>
      <rPr>
        <sz val="14"/>
        <rFont val="Calibri"/>
        <family val="2"/>
        <charset val="204"/>
      </rPr>
      <t xml:space="preserve">
https://rozetka.com.ua/contacts/
https://yadi.sk/i/L7fqJgB0JRxDnA https://yadi.sk/i/9iuCJxRQrjZp7Q  https://yadi.sk/i/Opj8AG3h5ymSmQ</t>
    </r>
  </si>
  <si>
    <t>Отдельный урок</t>
  </si>
  <si>
    <t>Заголовок H1 по типам страниц</t>
  </si>
  <si>
    <t>Необходимо проверить все страницы сайта на наличие одного-единственного заголовка H1 в верхней части страницы. Каждая страница должна содержать H1 и он должен быть только один. Зачастую в шаблоне самый главный заголовок прописан просто стилем с большим шрифтом – это критическая ошибка!</t>
  </si>
  <si>
    <t>Атрибут Alt у изображений</t>
  </si>
  <si>
    <t>Склейка зеркал www</t>
  </si>
  <si>
    <t>Необходимо проверить склейку зеркал www. Как определить главное зеркало - http://www.markintalk.ru/seo-chek-list-optimizacii-vashego-sajta.html. Коды склейки зеркал можно найти тут - http://www.markintalk.ru/kak-raskrutit-internet-magazin-poshagovoe-rukovodstvo.html</t>
  </si>
  <si>
    <t>Дубли страниц</t>
  </si>
  <si>
    <t>Проверка склейки последнего "/" в url</t>
  </si>
  <si>
    <t>Проверка битых ссылок</t>
  </si>
  <si>
    <t xml:space="preserve">ЧПУ </t>
  </si>
  <si>
    <t>Сайт обязательно должен содержать ЧПУ – человекопонятные URL. То есть каждый адрес сайта должен прописываться транслитом.</t>
  </si>
  <si>
    <t>Топонимы в Тайтлах</t>
  </si>
  <si>
    <t>Основные категории - УВ-2 (уровень вложенности 2)</t>
  </si>
  <si>
    <t xml:space="preserve">Разместить на главной странице ссылки на все основные категории и подкатегории сайта (меню не считается). </t>
  </si>
  <si>
    <t>Желательно, длина URL внутренних страниц до 90 символов</t>
  </si>
  <si>
    <t xml:space="preserve">Проверить наличие длинных url на страницах сайта. </t>
  </si>
  <si>
    <t>Смотрим сохраненную копию сайта в Яндексе</t>
  </si>
  <si>
    <t>Анализ страниц сайта на предмет наличия и корректного использования тегов &lt;NOINDEX&gt;.</t>
  </si>
  <si>
    <t>Релевантность основному ключу</t>
  </si>
  <si>
    <t>Документ должен быть релевантен именно основному ключу, а не сторонним словам. Проверяем через облака релевантности. Специальный сервис для этого есть в рамках закрытого сообщества. Бесплатный аналог (он имеет ряд проблем) - https://miratext.ru/seo_analiz_text</t>
  </si>
  <si>
    <t xml:space="preserve">ПЛОХО - https://yadi.sk/d/d8XK5u9xIubfrg 
ХОРОШО - https://yadi.sk/d/yUPGQCv2jB4Ixw </t>
  </si>
  <si>
    <t>Разные облака для разных страниц</t>
  </si>
  <si>
    <t>Соседние страницы в рамках сайта должны иметь отличающиеся " облака", иначе страницы будут выпадать из индекса с пометкой - недостаточно качественная. Проверяем через облака релевантности. Специальный сервис для этого есть в рамках закрытого сообщества. Бесплатный аналог (он имеет ряд проблем) - https://miratext.ru/seo_analiz_text</t>
  </si>
  <si>
    <t>Облака сквозных элементов</t>
  </si>
  <si>
    <t>Необходимо провести анализ сквозных элементов, для этого надо создать на сайте пустую страницу, которая содержит на себе только меню и сквозные элементы без контента. Необходимо изучить состав облаков сквозных элементов, потому как наличие большого числа "лишних" слов (которые не являются LSI для большинства страниц) будут тянуть сайт вниз</t>
  </si>
  <si>
    <t>Облака сквозных элементов должны состоять из связанных слов</t>
  </si>
  <si>
    <t>Необходимо изучить сайт на предмет наличия скрытых невидимых блоков. В таких слоях может присутствовать переспам по тем или иным запросам, что может привести к искажению релевантности документа. Это можно сделать вручную, через просмотр кода сайта. Но помочь в поиске переспама может специальный сервис, который можно найти в нашем закрытом сообществе.</t>
  </si>
  <si>
    <r>
      <t xml:space="preserve">Пример: 
</t>
    </r>
    <r>
      <rPr>
        <sz val="14"/>
        <rFont val="Calibri"/>
        <family val="2"/>
        <charset val="204"/>
      </rPr>
      <t>Использование двух вариантов оформления меню - для десктопной и для мобильной версии сайта. Очень часто обе версии меню присутствуют в коде.</t>
    </r>
  </si>
  <si>
    <t>Гибридный Тайтл</t>
  </si>
  <si>
    <t>Переспам</t>
  </si>
  <si>
    <r>
      <t xml:space="preserve">Пример: 
</t>
    </r>
    <r>
      <rPr>
        <sz val="14"/>
        <rFont val="Calibri"/>
        <family val="2"/>
        <charset val="204"/>
      </rPr>
      <t>Если документ получает пенальти за переспам по ключу, то у него понижается рейтинг в выдаче по необходимому запросу. Если же документ очень сильно переспамлен - он может и вовсе потерять возможность ранжирования по целевому ключу и его место займет следующий по релевантности документ этого сайта. В отдельных случаях переспам ряда страниц может повлечь за собой наложение фильтра Баден-Баден на весь сайт.</t>
    </r>
  </si>
  <si>
    <t>Турбо-страницы Яндекса</t>
  </si>
  <si>
    <t>В Яндекс-вебмастер необходимо подключить Турбо-страницы. Это не только быстрозагружаемые страницы, эти страницы также выводятся в выдаче Яндекса в виде отдельной карусели.</t>
  </si>
  <si>
    <r>
      <rPr>
        <b/>
        <sz val="14"/>
        <rFont val="Calibri"/>
        <family val="2"/>
        <charset val="204"/>
      </rPr>
      <t>Пример:</t>
    </r>
    <r>
      <rPr>
        <sz val="14"/>
        <rFont val="Calibri"/>
        <family val="2"/>
        <charset val="204"/>
      </rPr>
      <t xml:space="preserve">
https://www.dropbox.com/s/xewxqn8nv1doan3/2020-06-04_18-21-01.png?dl=0</t>
    </r>
  </si>
  <si>
    <t>Поиск по сайту</t>
  </si>
  <si>
    <t>Даже если на данный момент нет вакансий, можно размещать вакансии менеджеров продаж, копирайтеров и т.д. Принимать их на работу необязательно :)</t>
  </si>
  <si>
    <t>Адрес</t>
  </si>
  <si>
    <t>Время работы</t>
  </si>
  <si>
    <t>Для интернет-магазинов</t>
  </si>
  <si>
    <t>Для сайтов услуг</t>
  </si>
  <si>
    <t>СТРОГО! Не удалять товары</t>
  </si>
  <si>
    <r>
      <rPr>
        <b/>
        <sz val="14"/>
        <rFont val="Calibri"/>
        <family val="2"/>
        <charset val="204"/>
      </rPr>
      <t>Пример:</t>
    </r>
    <r>
      <rPr>
        <sz val="14"/>
        <rFont val="Calibri"/>
        <family val="2"/>
        <charset val="204"/>
      </rPr>
      <t xml:space="preserve">
https://yadi.sk/i/d7GPEalfCKx8Pg</t>
    </r>
  </si>
  <si>
    <t xml:space="preserve">При формировании SEO фильтра крайне важно не допускать создания пустых выборок, под которые в природе не существует товаров. </t>
  </si>
  <si>
    <t>Микроразметка карточки товара</t>
  </si>
  <si>
    <r>
      <rPr>
        <b/>
        <sz val="14"/>
        <rFont val="Calibri"/>
        <family val="2"/>
        <charset val="204"/>
      </rPr>
      <t>Пример:</t>
    </r>
    <r>
      <rPr>
        <sz val="14"/>
        <rFont val="Calibri"/>
        <family val="2"/>
        <charset val="204"/>
      </rPr>
      <t xml:space="preserve">
https://yandex.ru/support/webmaster/schema-org/</t>
    </r>
  </si>
  <si>
    <t>Указание валюты возле цены</t>
  </si>
  <si>
    <r>
      <rPr>
        <b/>
        <sz val="14"/>
        <rFont val="Calibri"/>
        <family val="2"/>
        <charset val="204"/>
      </rPr>
      <t>Пример:</t>
    </r>
    <r>
      <rPr>
        <sz val="14"/>
        <rFont val="Calibri"/>
        <family val="2"/>
        <charset val="204"/>
      </rPr>
      <t xml:space="preserve">
https://yadi.sk/i/FyqUSECxufI1hA
</t>
    </r>
  </si>
  <si>
    <t>Товарная перелинковка это вхождение ключа</t>
  </si>
  <si>
    <r>
      <rPr>
        <b/>
        <sz val="14"/>
        <rFont val="Calibri"/>
        <family val="2"/>
        <charset val="204"/>
      </rPr>
      <t>Пример:</t>
    </r>
    <r>
      <rPr>
        <sz val="14"/>
        <rFont val="Calibri"/>
        <family val="2"/>
        <charset val="204"/>
      </rPr>
      <t xml:space="preserve">
https://www.vseinstrumenti.ru/stanki/tsirkulyarnye_raspilovochnye_/aeg/ts_250_k/</t>
    </r>
  </si>
  <si>
    <t>ПРАВИЛЬНО НАЗЫВАТЬ ТОВАРЫ</t>
  </si>
  <si>
    <t>Название товара должно являться оптимальной и наиболее частотной формой запроса.
В названии товара мы должны явно указывать сущность товара, то, чем он является. Использование специализированной терминологии допускается только в комплексе с общеупотребляемым названием товара</t>
  </si>
  <si>
    <r>
      <rPr>
        <b/>
        <sz val="14"/>
        <rFont val="Calibri"/>
        <family val="2"/>
        <charset val="204"/>
      </rPr>
      <t>Пример:</t>
    </r>
    <r>
      <rPr>
        <sz val="14"/>
        <rFont val="Calibri"/>
        <family val="2"/>
        <charset val="204"/>
      </rPr>
      <t xml:space="preserve">
ОП-245 - нельзя использовать
Огнетушители порошковые ОП-245 - можно использовать</t>
    </r>
  </si>
  <si>
    <t>Множественное число в категориях</t>
  </si>
  <si>
    <r>
      <rPr>
        <b/>
        <sz val="14"/>
        <color rgb="FF000000"/>
        <rFont val="Calibri"/>
        <family val="2"/>
        <charset val="204"/>
      </rPr>
      <t>Пример:</t>
    </r>
    <r>
      <rPr>
        <sz val="14"/>
        <color rgb="FF000000"/>
        <rFont val="Calibri"/>
        <family val="2"/>
        <charset val="204"/>
      </rPr>
      <t xml:space="preserve">
https://yadi.sk/i/h4xQpCTeocxMxQ</t>
    </r>
  </si>
  <si>
    <t xml:space="preserve">Топонимы в карточках </t>
  </si>
  <si>
    <t>Топонимы в карточках: все запросы являются геонезависимыми. Оптимальный вариант: сделать таб Доставка с выбором города либо вывести списком несколько десятков крупных город в карточке: Мы доставляем в города: Москва, Питер и т.п. Также осуществляется доставка по всей России</t>
  </si>
  <si>
    <r>
      <rPr>
        <b/>
        <sz val="14"/>
        <color rgb="FF000000"/>
        <rFont val="Calibri"/>
        <family val="2"/>
        <charset val="204"/>
      </rPr>
      <t>Пример:</t>
    </r>
    <r>
      <rPr>
        <sz val="14"/>
        <color rgb="FF000000"/>
        <rFont val="Calibri"/>
        <family val="2"/>
        <charset val="204"/>
      </rPr>
      <t xml:space="preserve">
https://yadi.sk/i/W4xhXOIQyw9Bmw</t>
    </r>
  </si>
  <si>
    <t>Возможность перейти в корзину с любой страницы</t>
  </si>
  <si>
    <t>Корзина должны быть заметна.  И желательно находиться на привычном для пользователей месте  - правый верхний угол сайта</t>
  </si>
  <si>
    <r>
      <rPr>
        <b/>
        <sz val="14"/>
        <color rgb="FF000000"/>
        <rFont val="Calibri"/>
        <family val="2"/>
        <charset val="204"/>
      </rPr>
      <t>Пример:</t>
    </r>
    <r>
      <rPr>
        <sz val="14"/>
        <color rgb="FF000000"/>
        <rFont val="Calibri"/>
        <family val="2"/>
        <charset val="204"/>
      </rPr>
      <t xml:space="preserve">
https://www.dropbox.com/s/ehg20385p2v0zw5/2020-06-07_09-51-02.png?dl=0</t>
    </r>
  </si>
  <si>
    <t>Возможность добавлять скрытые категории - теги</t>
  </si>
  <si>
    <t>Вывести в категориях все подкатегории с возможностью скрывать и раскрывать полный список подкатегорий/тегов</t>
  </si>
  <si>
    <r>
      <rPr>
        <b/>
        <sz val="14"/>
        <color rgb="FF000000"/>
        <rFont val="Calibri"/>
        <family val="2"/>
        <charset val="204"/>
      </rPr>
      <t>Пример:</t>
    </r>
    <r>
      <rPr>
        <sz val="14"/>
        <color rgb="FF000000"/>
        <rFont val="Calibri"/>
        <family val="2"/>
        <charset val="204"/>
      </rPr>
      <t xml:space="preserve">
https://yadi.sk/i/Pw1_dTL2ArIXyg</t>
    </r>
  </si>
  <si>
    <t>Плоская структура адресов категорий и товаров</t>
  </si>
  <si>
    <r>
      <rPr>
        <b/>
        <sz val="14"/>
        <rFont val="Calibri"/>
        <family val="2"/>
        <charset val="204"/>
      </rPr>
      <t>Примеры:</t>
    </r>
    <r>
      <rPr>
        <sz val="14"/>
        <rFont val="Calibri"/>
        <family val="2"/>
        <charset val="204"/>
      </rPr>
      <t xml:space="preserve">
http://satom.ru/k/zazhimy-kohera/
http://ekaterinburg.satom.ru/p/15837669-magnitola-mazda-mazda-3/</t>
    </r>
  </si>
  <si>
    <t>Title по маске</t>
  </si>
  <si>
    <t>При наличии большого количества страниц на сайте, рекомендуется использовать заполнение метатегов по маске. Это хуже чем ручное заполнение метатегов, но лучше чем их отсутствие.</t>
  </si>
  <si>
    <r>
      <rPr>
        <b/>
        <sz val="14"/>
        <rFont val="Calibri"/>
        <family val="2"/>
        <charset val="204"/>
      </rPr>
      <t>Категория:</t>
    </r>
    <r>
      <rPr>
        <sz val="14"/>
        <rFont val="Calibri"/>
        <family val="2"/>
        <charset val="204"/>
      </rPr>
      <t xml:space="preserve">
[Название категории] купить по цене от [минимальная цена в категории] ☛ Доставка по всей России ★★★ Интернет-магазин ______
</t>
    </r>
    <r>
      <rPr>
        <b/>
        <sz val="14"/>
        <rFont val="Calibri"/>
        <family val="2"/>
        <charset val="204"/>
      </rPr>
      <t>Товар:</t>
    </r>
    <r>
      <rPr>
        <sz val="14"/>
        <rFont val="Calibri"/>
        <family val="2"/>
        <charset val="204"/>
      </rPr>
      <t xml:space="preserve">
[Название товара] купить по цене [цена товара] ☛ Доставка по всей России ★★★ Интернет-магазин _____
</t>
    </r>
  </si>
  <si>
    <t>Description по маске</t>
  </si>
  <si>
    <r>
      <rPr>
        <b/>
        <sz val="14"/>
        <rFont val="Calibri"/>
        <family val="2"/>
        <charset val="204"/>
      </rPr>
      <t>Категория:</t>
    </r>
    <r>
      <rPr>
        <sz val="14"/>
        <rFont val="Calibri"/>
        <family val="2"/>
        <charset val="204"/>
      </rPr>
      <t xml:space="preserve">
[Название категории] купить по цене от [минимальная цена в категории] ☛ Низкие цены ☛ Большой выбор ☛ Доставка по всей России ★★★ Интернет-магазин ______ ☎  [телефон] (Пн-Сб с 9:00 до 18:00)
</t>
    </r>
    <r>
      <rPr>
        <b/>
        <sz val="14"/>
        <rFont val="Calibri"/>
        <family val="2"/>
        <charset val="204"/>
      </rPr>
      <t>Товар:</t>
    </r>
    <r>
      <rPr>
        <sz val="14"/>
        <rFont val="Calibri"/>
        <family val="2"/>
        <charset val="204"/>
      </rPr>
      <t xml:space="preserve">
[Название товара] купить по цене [цена товара] ☛ Низкие цены ☛ Большой выбор ☛ Доставка по всей России ★★★ Интернет-магазин _____и ☎  [телефон] (Пн-Сб с 9:00 до 18:00)
</t>
    </r>
  </si>
  <si>
    <t>Гибридный фильтратор</t>
  </si>
  <si>
    <r>
      <t xml:space="preserve">Необходимо проанализировать фильтраторы сайтов-конкурентов, собрать все в один файл, удалить дубли и внедрить на свой сайт. 
</t>
    </r>
    <r>
      <rPr>
        <b/>
        <sz val="14"/>
        <rFont val="Calibri"/>
        <family val="2"/>
        <charset val="204"/>
      </rPr>
      <t>ВАЖНО!!!</t>
    </r>
    <r>
      <rPr>
        <sz val="14"/>
        <rFont val="Calibri"/>
        <family val="2"/>
        <charset val="204"/>
      </rPr>
      <t xml:space="preserve">
Конечные страницы фильтрации должны быть закрыты от индексации!</t>
    </r>
  </si>
  <si>
    <t>У разных запросов может быть контент, необходимый для ранжирования - критически важный для наличия на той или иной странице.</t>
  </si>
  <si>
    <t>Ввести контент, необходимый для ранжирования</t>
  </si>
  <si>
    <t>Например, по запросу: Установка видеодомофонов цены необходимым является наличие таблицы с ценами на этой странице.</t>
  </si>
  <si>
    <t xml:space="preserve">Примеры:
https://yadi.sk/i/lvOvR3Mu1zphvA                                 https://yadi.sk/i/2bIB2qttjgPJ5g    </t>
  </si>
  <si>
    <t>Наличие топонима для сайта услуг является основной коммерческой добавкой</t>
  </si>
  <si>
    <t>Топоним в тайтле</t>
  </si>
  <si>
    <t>Качественно оформленная страница Контакты, шапка сайта (вайбер, ватсап, номер 8 800, email и т.д.)</t>
  </si>
  <si>
    <t>Различные формы связи</t>
  </si>
  <si>
    <t>Детально проработанная страница Портфолио и страница Отзывы</t>
  </si>
  <si>
    <t>Портфолио и отзывы</t>
  </si>
  <si>
    <t>Регулярно наполняемая страница Акции</t>
  </si>
  <si>
    <t>Страница Акции</t>
  </si>
  <si>
    <t>Детально проработанная страница О Компании и страница Вакансии</t>
  </si>
  <si>
    <t>Страница О Компании и страница Вакансии</t>
  </si>
  <si>
    <t>Важный момент!</t>
  </si>
  <si>
    <t xml:space="preserve">Тщательно изучать страницы конкурентов в ТОПЕ по вашему региону и по вашим запросам. Необходимо открыть ТОП 10 сайтов, подобных вашему, исключая агрегаторы. Разбить страницы сайтов на составляющие (что на них есть? Текст, таблица, видео, отзывы). И на основе полного списка элементов выделить список повторяющихся и внедрить на сайт </t>
  </si>
  <si>
    <t>Гибридная таблица с ценами</t>
  </si>
  <si>
    <t xml:space="preserve">Категория:
[Название категории] в [топоним] заказать по цене от [минимальная цена в категории] ★★★ [Название сайта]
Услуга:
[Название услуги] в [топоним] заказать по цене [цена услуги] ★★★ [Название сайта]
</t>
  </si>
  <si>
    <t xml:space="preserve">Категория:
[Название категории] в [топоним] заказать по цене от [минимальная цена в категории] ★★★ [Название сайта] ☎  [телефон] (Пн-Сб с 9:00 до 18:00)
Услуга:
[Название услуги] в [топоним] заказать по цене [цена услуги] ★★★ [Название сайта] ☎  [телефон] (Пн-Сб с 9:00 до 18:00)
</t>
  </si>
  <si>
    <t>Для информационных сайтов</t>
  </si>
  <si>
    <t>Используется оглавление по статьям</t>
  </si>
  <si>
    <t>Используются ссылки на связанные статьи</t>
  </si>
  <si>
    <t>В конце статьи дать ссылки на другие сео-статьи.</t>
  </si>
  <si>
    <t>https://www.bigam.ru/stati/kak-slit-vodu-s-vodonagrevatelya/
Пример:
https://yadi.sk/i/j0pYnQDbExHPjQ</t>
  </si>
  <si>
    <t>Используются ссылки на коммерческие разделы</t>
  </si>
  <si>
    <t>В конце статьи дать ссылки на категории интернет-магазина</t>
  </si>
  <si>
    <t>https://www.bigam.ru/stati/kak-slit-vodu-s-vodonagrevatelya/
Пример:
https://yadi.sk/i/KGxrCjfzftLByw</t>
  </si>
  <si>
    <t>Используются ссылки на товары если это возможно</t>
  </si>
  <si>
    <t>Проверка текстов через сервис Тургенев</t>
  </si>
  <si>
    <t>Сервис проверки спамности сео-текста, находит стилистические ошибки</t>
  </si>
  <si>
    <t>https://turgenev.ashmanov.com/</t>
  </si>
  <si>
    <t>Качественные тексты</t>
  </si>
  <si>
    <t>Тексты необходимо писать исходя из раскрытия интента запроса и в последнюю очередь думать о ключевых словах. Текст должен быть написан ради контента и покрывать полностью интент пользователя. Ключевые слова вписываются вокруг текста в активные элементы, например - в оглавление.</t>
  </si>
  <si>
    <t xml:space="preserve">Необходимо зарегистрироваться в сервисе Google Search Console и добавить туда свой сайт
https://search.google.com/search-console/about?hl=ru
</t>
  </si>
  <si>
    <t>Необходимо зарегистрироваться в сервисе Яндекс Вебмастер и добавить свой сайт 
https://webmaster.yandex.ru/</t>
  </si>
  <si>
    <t>Сервис 2gis.ru</t>
  </si>
  <si>
    <r>
      <rPr>
        <b/>
        <sz val="14"/>
        <rFont val="Calibri"/>
        <family val="2"/>
        <charset val="204"/>
      </rPr>
      <t>Пример:</t>
    </r>
    <r>
      <rPr>
        <sz val="14"/>
        <rFont val="Calibri"/>
        <family val="2"/>
        <charset val="204"/>
      </rPr>
      <t xml:space="preserve">
https://www.mvideo.ru/</t>
    </r>
  </si>
  <si>
    <t>Необходимо устранить ошибки валидации. Предупреждения устранять не обязательно.
https://validator.w3.org/
Сайт должен иметь минимальное количество ошибок валидности html. В некоторых случаях допускается наличие небольшого количества ошибок.</t>
  </si>
  <si>
    <t>Оптимизация изображений</t>
  </si>
  <si>
    <t xml:space="preserve">В каком бы виде вы не ввели адрес сайта (с www или без) – должен происходить автоматический редирект 301 к одному и тому же виду.
Первым делом необходимо определить какое зеркало сайта в настоящий момент является главным с точки зрения Яндекс, для этого нужно добавить сайт в Яндекс Вебмастер, если вы добавили неглавное зеркало, то Яндекс уведомит вас об этом: https://yadi.sk/i/CHMtr-mWhzclhA </t>
  </si>
  <si>
    <t>Url с параметрами (пагинация, сортировка, фильтрация и т.д.)</t>
  </si>
  <si>
    <r>
      <rPr>
        <b/>
        <sz val="14"/>
        <rFont val="Calibri"/>
        <family val="2"/>
        <charset val="204"/>
        <scheme val="minor"/>
      </rPr>
      <t>Пример:</t>
    </r>
    <r>
      <rPr>
        <sz val="14"/>
        <rFont val="Calibri"/>
        <family val="2"/>
        <charset val="204"/>
        <scheme val="minor"/>
      </rPr>
      <t xml:space="preserve">
https://www.mvideo.ru/
https://yadi.sk/i/UCUsVDU1raPh3A</t>
    </r>
  </si>
  <si>
    <r>
      <rPr>
        <b/>
        <sz val="14"/>
        <rFont val="Calibri"/>
        <family val="2"/>
        <charset val="204"/>
        <scheme val="minor"/>
      </rPr>
      <t>Примеры:</t>
    </r>
    <r>
      <rPr>
        <sz val="14"/>
        <rFont val="Calibri"/>
        <family val="2"/>
        <charset val="204"/>
        <scheme val="minor"/>
      </rPr>
      <t xml:space="preserve">
https://www.mvideo.ru/ 
https://yadi.sk/i/PKotFex8aYe7jQ</t>
    </r>
  </si>
  <si>
    <r>
      <rPr>
        <b/>
        <sz val="14"/>
        <rFont val="Calibri"/>
        <family val="2"/>
        <charset val="204"/>
        <scheme val="minor"/>
      </rPr>
      <t xml:space="preserve">Пример: 
</t>
    </r>
    <r>
      <rPr>
        <sz val="14"/>
        <rFont val="Calibri"/>
        <family val="2"/>
        <charset val="204"/>
        <scheme val="minor"/>
      </rPr>
      <t>https://www.ozon.ru/category/8016?brand=34564421&amp;type=75759                                                                         В исходном коде видим: rel="canonical" href="https://www.ozon.ru/category/8016/?brand=34564421"/&gt;</t>
    </r>
  </si>
  <si>
    <r>
      <rPr>
        <b/>
        <sz val="14"/>
        <rFont val="Calibri"/>
        <family val="2"/>
        <charset val="204"/>
        <scheme val="minor"/>
      </rPr>
      <t>Пример:</t>
    </r>
    <r>
      <rPr>
        <sz val="14"/>
        <rFont val="Calibri"/>
        <family val="2"/>
        <charset val="204"/>
        <scheme val="minor"/>
      </rPr>
      <t xml:space="preserve">
https://www.mvideo.ru/televizory-i-video
https://yadi.sk/i/kUT0uckIP3Kqgw</t>
    </r>
  </si>
  <si>
    <r>
      <rPr>
        <b/>
        <sz val="14"/>
        <color rgb="FF000000"/>
        <rFont val="Calibri"/>
        <family val="2"/>
        <charset val="204"/>
        <scheme val="minor"/>
      </rPr>
      <t>Пример:</t>
    </r>
    <r>
      <rPr>
        <sz val="14"/>
        <color rgb="FF000000"/>
        <rFont val="Calibri"/>
        <family val="2"/>
        <charset val="204"/>
        <scheme val="minor"/>
      </rPr>
      <t xml:space="preserve">
https://yadi.sk/i/1YeTSDS_a6Gufg
</t>
    </r>
    <r>
      <rPr>
        <b/>
        <sz val="14"/>
        <color rgb="FF000000"/>
        <rFont val="Calibri"/>
        <family val="2"/>
        <charset val="204"/>
        <scheme val="minor"/>
      </rPr>
      <t>Пример:</t>
    </r>
    <r>
      <rPr>
        <sz val="14"/>
        <color rgb="FF000000"/>
        <rFont val="Calibri"/>
        <family val="2"/>
        <charset val="204"/>
        <scheme val="minor"/>
      </rPr>
      <t xml:space="preserve">
https://lan-med.ru/
</t>
    </r>
  </si>
  <si>
    <r>
      <rPr>
        <b/>
        <sz val="14"/>
        <rFont val="Calibri"/>
        <family val="2"/>
        <charset val="204"/>
        <scheme val="minor"/>
      </rPr>
      <t>Пример хорошего URL:</t>
    </r>
    <r>
      <rPr>
        <sz val="14"/>
        <rFont val="Calibri"/>
        <family val="2"/>
        <charset val="204"/>
        <scheme val="minor"/>
      </rPr>
      <t xml:space="preserve">
site.ru/catalog/detskaya-obuv/dlya-malchikov/demisezonnaya/
</t>
    </r>
  </si>
  <si>
    <r>
      <rPr>
        <b/>
        <sz val="14"/>
        <rFont val="Calibri"/>
        <family val="2"/>
        <charset val="204"/>
        <scheme val="minor"/>
      </rPr>
      <t>Пример:</t>
    </r>
    <r>
      <rPr>
        <sz val="14"/>
        <rFont val="Calibri"/>
        <family val="2"/>
        <charset val="204"/>
        <scheme val="minor"/>
      </rPr>
      <t xml:space="preserve">
https://yadi.sk/i/rOoSb43N9mtn9w</t>
    </r>
  </si>
  <si>
    <t>Необходимо закрыть все ненужные и дублирующиеся на других страницах сайта участки текста в тег NOINDEX. Используем для этого RDS bar</t>
  </si>
  <si>
    <r>
      <t xml:space="preserve">Пример:
</t>
    </r>
    <r>
      <rPr>
        <sz val="14"/>
        <rFont val="Calibri"/>
        <family val="2"/>
        <charset val="204"/>
      </rPr>
      <t>https://www.dropbox.com/s/1dn2immpqmknjp6/2020-06-04_16-31-24.png?dl=0
У разных страниц в рамках сайта облака должны отличаться (в частности у категорий магазина и у товаров)</t>
    </r>
  </si>
  <si>
    <t>Анализ скрытых слоев сайта с точки зрения плотности ключей</t>
  </si>
  <si>
    <t>На сайте нельзя удалять старые товары. Пусть они остаются как не в наличии, но ссылки на них должны сохраняться. Если же товары удаляются - необходимо по удаленным страницам настроить редирект на аналогичные страницы.</t>
  </si>
  <si>
    <t>Цена на сайте обязательно должна быть с указанием валюты</t>
  </si>
  <si>
    <t>Товарная перелинковка в карточке товара или на странице категории товара - это не только юзабилити, это еще и вхождение важных ключей на странице.</t>
  </si>
  <si>
    <t>Необходимо проверить все категории по пиксел тулс на предмет коммерческости запросов во множественном и единственном числе.
https://tools.pixelplus.ru/tools/intent</t>
  </si>
  <si>
    <t>Дочерние категории не должны иметь вложенность в URL, ровно как и товары не должны иметь в URL вложенность в категорию
(рекомендация, не правило)</t>
  </si>
  <si>
    <t xml:space="preserve">Пример:
Установка кондиционеров в Москве
Картинг в Москве
Доставка цветов в Москве
</t>
  </si>
  <si>
    <t>Смотреть вверху страницы (под заголовком, справа от фото)
https://club.dns-shop.ru/blog/t-99-videokartyi/48967-opasno-li-pokupat-videokartu-posle-maininga/
Пример:
https://yadi.sk/i/fA_zlJNkUDV9aw</t>
  </si>
  <si>
    <t>В верхней части статьи есть якорные ссылки на разделы данной статьи.</t>
  </si>
  <si>
    <t>Google Analytics</t>
  </si>
  <si>
    <t>Технический анализ сайта wisard.sape</t>
  </si>
  <si>
    <t>Полезные сервисы</t>
  </si>
  <si>
    <t>Что делает</t>
  </si>
  <si>
    <t>Ссылка</t>
  </si>
  <si>
    <t>ТЕХ ЧАСТЬ</t>
  </si>
  <si>
    <t>Инструмент для тестированя сайта на валидность кода</t>
  </si>
  <si>
    <t>https://validator.w3.org/</t>
  </si>
  <si>
    <t>Производит тестирование кода на валидность</t>
  </si>
  <si>
    <t>Инструмент для тестированя сайта на правильность отображения в мобильных устройствах</t>
  </si>
  <si>
    <t>www.responsinator.com</t>
  </si>
  <si>
    <t>Достаточно точно может показать, как выглядит ваш сайт на мобильных устройствах. Особенно с ОС Андроид. Для точного тестирования отображения сайта на IOS лучше использовать сервис ниже</t>
  </si>
  <si>
    <t>http://www.responsinator.com/</t>
  </si>
  <si>
    <t>Сьем позиций через систему аналитики topvisor</t>
  </si>
  <si>
    <t>https://topvisor.com/</t>
  </si>
  <si>
    <t>Необходимо подключиться к системе аналитики https://topvisor.com для мониторинга эффективности продвижения сайта</t>
  </si>
  <si>
    <t>https://topvisor.com/ru/</t>
  </si>
  <si>
    <t>Инструмент SEO специалиста  Just-Magic</t>
  </si>
  <si>
    <t>https://just-magic.org/</t>
  </si>
  <si>
    <t>Сервис делает мгновенный подбор семантики, делает анализ текстовой оптимизации страницы по группе запросов, позволяет пословно проанализировать текст на тематичность запросу</t>
  </si>
  <si>
    <t>SEO комбайн Megaindex</t>
  </si>
  <si>
    <t>https://ru.megaindex.com/a</t>
  </si>
  <si>
    <t>Сможете узнать, по каким запросам люди попадают на Ваш сайт и какие места по этим запросам Вы занимаете;
Узнаете динамику поисковой выдачи по конкретному запросу: какие сайты попадали в ТОП, а какие, наоборот, вылетали из него; а главное - как на фоне других вел себя Ваш сайт.</t>
  </si>
  <si>
    <t>Инструмент SEO специалиста ARSENKIN TOOLS</t>
  </si>
  <si>
    <t>https://arsenkin.ru/tools/</t>
  </si>
  <si>
    <t xml:space="preserve">Полезные инструменты для SEO специалистов и интернет-маркетологов: парсинг подсветок Яндекса, проверка фильтра переоптимизация и многое другое.
</t>
  </si>
  <si>
    <t>Инструмент SEO специалиста Пиксель Тулс</t>
  </si>
  <si>
    <t>https://tools.pixelplus.ru/</t>
  </si>
  <si>
    <t xml:space="preserve">Набор бесплатных инструментов для SEO: анализ сайта, анализ выдачи поисковых систем по нужным для вас запросам, продвижение по запросам, диагностика наличия фильтров поисковых систем, рекомендации по технической оптимизации сайта.
</t>
  </si>
  <si>
    <t>Инструмент SEO специалиста Keys</t>
  </si>
  <si>
    <t>https://www.keys.so/</t>
  </si>
  <si>
    <t xml:space="preserve">Сбор семантического ядра и анализ конкурентов
</t>
  </si>
  <si>
    <t>https://www.keys.so/ru/</t>
  </si>
  <si>
    <t>Инструмент SEO специалиста SpyWords</t>
  </si>
  <si>
    <t>https://spywords.ru/</t>
  </si>
  <si>
    <t xml:space="preserve">Сервис для полноценного анализа сайтов конкурентов, мониторинга рекламных кампаний и подбора эффективных ключевых запросов для РК.
</t>
  </si>
  <si>
    <t>Инструмент</t>
  </si>
  <si>
    <t>https://miratext.ru/seo_analiz_text</t>
  </si>
  <si>
    <t>Сервис для семантического анализа текстов. Позволяет определить количество символов, тошноту, водянистость, сформировать облако частотности слов, карту релефантности, а также количество повторений.</t>
  </si>
  <si>
    <t xml:space="preserve">Инструмент </t>
  </si>
  <si>
    <t>https://artur2k.ru/tools/</t>
  </si>
  <si>
    <t xml:space="preserve">Многофункциональный сервис для SEO специалиста, позволяющий производить аудиты сайта, текстовый анализ, семантический анализ, производить внешнюю оптимизацию. </t>
  </si>
  <si>
    <t>Покупка арендных ссылок</t>
  </si>
  <si>
    <t>https://www.sape.ru</t>
  </si>
  <si>
    <t>Арендные ссылки советую брать здесь.</t>
  </si>
  <si>
    <t>Покупка вечных ссылок</t>
  </si>
  <si>
    <t>https://pr.sape.ru</t>
  </si>
  <si>
    <t>Вечные ссылкисоветую брать здесь.</t>
  </si>
  <si>
    <t>ОБСЛУЖИВАНИЕ САЙТА</t>
  </si>
  <si>
    <t>Сервис ping</t>
  </si>
  <si>
    <t>http://ping-admin.ru/</t>
  </si>
  <si>
    <t>Ping-Admin.Ru осуществляет круглосуточный мониторинг доступности и проверку работы на сервере таких сервисов как:
- HTTP, HTTPS (проверка работоспособности сайта).
- FTP.
- MySQL, PostgreSQL (проверка работоспособности базы данных).
- POP3, SMTP, IMAP (проверка работоспособности почты).
- DNS.
- Ping.
- Telnet.
Также, доступны некоторые дополнительные функции</t>
  </si>
  <si>
    <t>Автоматическое лечение и защита сайтов</t>
  </si>
  <si>
    <t>https://virusdie.ru/</t>
  </si>
  <si>
    <t>Сервис помогает проверить сайты и серверы на вирусы и уязвимости. Автоматически устранить вредоносный код и заражения. Удалить сайт из черных списков. Защитить от угроз, XSS/SQL инъекций и подозрительной активности или воспользоваться услугами экспертного отдела.</t>
  </si>
  <si>
    <t>Автоматическая защита сайта от DDOS-атак</t>
  </si>
  <si>
    <t>https://www.cloudflare.com/</t>
  </si>
  <si>
    <t xml:space="preserve">Необходимо установить соответствующие модули для защиты сайта от DDOS-атак. https://www.cloudflare.com/
</t>
  </si>
  <si>
    <t>Краткое название</t>
  </si>
  <si>
    <t>Описание урока</t>
  </si>
  <si>
    <t>Сервис Google Мой бизнес</t>
  </si>
  <si>
    <t>Необходимо протестировать сайт на корректность отображения на экранах с различным разрешением. (Минимальная ширина экрана - 320 пикс., максимальная ширина экрана - 1920 пикс.)
Сайт должен корректно отображаться на всех устройствах (ПК, ноутбук, планшет, смартфон, телефон)
Отдельно необходимо протестировать сайт на оптимизацию под мобильные устройства по тесту Google.
https://search.google.com/test/mobile-friendly</t>
  </si>
  <si>
    <r>
      <rPr>
        <b/>
        <sz val="14"/>
        <rFont val="Calibri"/>
        <family val="2"/>
        <charset val="204"/>
      </rPr>
      <t>Пример:</t>
    </r>
    <r>
      <rPr>
        <sz val="14"/>
        <rFont val="Calibri"/>
        <family val="2"/>
        <charset val="204"/>
      </rPr>
      <t xml:space="preserve">
https://www.mvideo.ru/
</t>
    </r>
    <r>
      <rPr>
        <b/>
        <sz val="14"/>
        <rFont val="Calibri"/>
        <family val="2"/>
        <charset val="204"/>
      </rPr>
      <t>Пример:</t>
    </r>
    <r>
      <rPr>
        <sz val="14"/>
        <rFont val="Calibri"/>
        <family val="2"/>
        <charset val="204"/>
      </rPr>
      <t xml:space="preserve">
https://yadi.sk/i/wLWhXJBhoM9uWg</t>
    </r>
  </si>
  <si>
    <t>Быстрые ссылки</t>
  </si>
  <si>
    <t>Управлять быстрыми ссылками, которые отображаются в сниппетах Яндекс, можно в разделе Вебмастера
https://webmaster.yandex.ru/site/https:lucky-toys.com.ua:443/info/serplinks/?section=%2F</t>
  </si>
  <si>
    <r>
      <rPr>
        <b/>
        <sz val="14"/>
        <rFont val="Calibri"/>
        <family val="2"/>
        <charset val="204"/>
      </rPr>
      <t>Пример:</t>
    </r>
    <r>
      <rPr>
        <sz val="14"/>
        <rFont val="Calibri"/>
        <family val="2"/>
        <charset val="204"/>
      </rPr>
      <t xml:space="preserve">
https://www.dropbox.com/s/cu9g5bhev6p8m9q/2021-09-26_21-41-03.png?dl=0</t>
    </r>
  </si>
  <si>
    <r>
      <rPr>
        <b/>
        <sz val="14"/>
        <rFont val="Calibri"/>
        <family val="2"/>
        <charset val="204"/>
      </rPr>
      <t>Пример:</t>
    </r>
    <r>
      <rPr>
        <sz val="14"/>
        <rFont val="Calibri"/>
        <family val="2"/>
        <charset val="204"/>
      </rPr>
      <t xml:space="preserve">
https://www.dropbox.com/s/hvj7yd52wz71bbm/2021-09-26_21-43-56.png?dl=0</t>
    </r>
  </si>
  <si>
    <r>
      <rPr>
        <b/>
        <sz val="14"/>
        <rFont val="Calibri"/>
        <family val="2"/>
        <charset val="204"/>
      </rPr>
      <t>Пример:</t>
    </r>
    <r>
      <rPr>
        <sz val="14"/>
        <rFont val="Calibri"/>
        <family val="2"/>
        <charset val="204"/>
      </rPr>
      <t xml:space="preserve">
https://www.dropbox.com/s/3uro5ypo531ngsx/2021-09-26_21-45-47.png?dl=0</t>
    </r>
  </si>
  <si>
    <r>
      <rPr>
        <b/>
        <sz val="14"/>
        <rFont val="Calibri"/>
        <family val="2"/>
        <charset val="204"/>
      </rPr>
      <t>Пример:</t>
    </r>
    <r>
      <rPr>
        <sz val="14"/>
        <rFont val="Calibri"/>
        <family val="2"/>
        <charset val="204"/>
      </rPr>
      <t xml:space="preserve">
https://www.dropbox.com/s/xmycwut7luuubmb/2021-09-26_21-50-17.png?dl=0</t>
    </r>
  </si>
  <si>
    <r>
      <rPr>
        <b/>
        <sz val="14"/>
        <color rgb="FF000000"/>
        <rFont val="Calibri"/>
        <family val="2"/>
        <charset val="204"/>
      </rPr>
      <t>Пример:</t>
    </r>
    <r>
      <rPr>
        <sz val="14"/>
        <color rgb="FF000000"/>
        <rFont val="Calibri"/>
        <family val="2"/>
        <charset val="204"/>
      </rPr>
      <t xml:space="preserve">
https://www.dropbox.com/s/dg5ctrjjv0l480o/2021-09-26_21-52-08.png?dl=0</t>
    </r>
  </si>
  <si>
    <r>
      <rPr>
        <b/>
        <sz val="14"/>
        <rFont val="Calibri"/>
        <family val="2"/>
        <charset val="204"/>
      </rPr>
      <t>Пример:</t>
    </r>
    <r>
      <rPr>
        <sz val="14"/>
        <rFont val="Calibri"/>
        <family val="2"/>
        <charset val="204"/>
      </rPr>
      <t xml:space="preserve">
https://rozetka.com.ua/
https://www.dropbox.com/s/owdn9u1no9n1b6j/2021-09-29_11-05-37.png?dl=0</t>
    </r>
  </si>
  <si>
    <r>
      <rPr>
        <b/>
        <sz val="14"/>
        <rFont val="Calibri"/>
        <family val="2"/>
        <charset val="204"/>
      </rPr>
      <t>Пример:</t>
    </r>
    <r>
      <rPr>
        <sz val="14"/>
        <rFont val="Calibri"/>
        <family val="2"/>
        <charset val="204"/>
      </rPr>
      <t xml:space="preserve">
https://www.dropbox.com/s/po0x55wjhokjii7/2021-09-29_11-21-42.png?dl=0</t>
    </r>
  </si>
  <si>
    <t xml:space="preserve">Проверить склейку таких вариантов страниц, как /index.php и /index.html. Переходите на главную страницу сайта, добавляете к урлу: /index.html и /index.php, если страница не редиректит на главную или не выходит 404 ошибка, то есть дубли страниц, нужно склеивать.
Склеивание таких дублирующих страниц производится в файле .htaccess
</t>
  </si>
  <si>
    <r>
      <rPr>
        <b/>
        <sz val="14"/>
        <rFont val="Calibri"/>
        <family val="2"/>
        <charset val="204"/>
        <scheme val="minor"/>
      </rPr>
      <t>Пример:</t>
    </r>
    <r>
      <rPr>
        <sz val="14"/>
        <rFont val="Calibri"/>
        <family val="2"/>
        <charset val="204"/>
        <scheme val="minor"/>
      </rPr>
      <t xml:space="preserve">
https://www.dropbox.com/s/t1601pwnr2891nq/2021-09-29_11-31-35.png?dl=0</t>
    </r>
  </si>
  <si>
    <r>
      <rPr>
        <b/>
        <sz val="14"/>
        <rFont val="Calibri"/>
        <family val="2"/>
        <charset val="204"/>
        <scheme val="minor"/>
      </rPr>
      <t>Пример:</t>
    </r>
    <r>
      <rPr>
        <sz val="14"/>
        <rFont val="Calibri"/>
        <family val="2"/>
        <charset val="204"/>
        <scheme val="minor"/>
      </rPr>
      <t xml:space="preserve">
https://www.dropbox.com/s/oi5x3cx3uemvpc1/2021-09-29_11-34-53.png?dl=0</t>
    </r>
  </si>
  <si>
    <r>
      <rPr>
        <b/>
        <sz val="14"/>
        <rFont val="Calibri"/>
        <family val="2"/>
        <charset val="204"/>
        <scheme val="minor"/>
      </rPr>
      <t>Пример:</t>
    </r>
    <r>
      <rPr>
        <sz val="14"/>
        <rFont val="Calibri"/>
        <family val="2"/>
        <charset val="204"/>
        <scheme val="minor"/>
      </rPr>
      <t xml:space="preserve">
https://yadi.sk/i/FWtBbpVuWUDbPw</t>
    </r>
  </si>
  <si>
    <r>
      <t xml:space="preserve">Пример:
</t>
    </r>
    <r>
      <rPr>
        <sz val="14"/>
        <rFont val="Calibri"/>
        <family val="2"/>
        <charset val="204"/>
      </rPr>
      <t>https://www.dropbox.com/s/a9fqqj2cy1haw4t/2021-09-29_12-17-54.png?dl=0</t>
    </r>
  </si>
  <si>
    <r>
      <rPr>
        <b/>
        <sz val="14"/>
        <color rgb="FF000000"/>
        <rFont val="Calibri"/>
        <family val="2"/>
        <charset val="204"/>
      </rPr>
      <t>Пример:</t>
    </r>
    <r>
      <rPr>
        <sz val="14"/>
        <color rgb="FF000000"/>
        <rFont val="Calibri"/>
        <family val="2"/>
        <charset val="204"/>
      </rPr>
      <t xml:space="preserve">
https://www.vseinstrumenti.ru/stanki/derevoobrabatyvayuschie/enkor/show_cat.php?%2Fstanki%2Fderevoobrabatyvayuschie%2Fshow_cat_phpformType=param&amp;cat_id=6476&amp;tagpage_id=390&amp;orderby=sales_rating&amp;asc=DESC&amp;makes%5Bids%5D%5B401%5D=on&amp;makes%5Btype%5D=check&amp;formType=param&amp;make_id=401#goods</t>
    </r>
  </si>
  <si>
    <t>Проверка истории домена</t>
  </si>
  <si>
    <r>
      <rPr>
        <b/>
        <sz val="14"/>
        <color rgb="FF000000"/>
        <rFont val="Calibri"/>
        <family val="2"/>
        <charset val="204"/>
      </rPr>
      <t>Пример:</t>
    </r>
    <r>
      <rPr>
        <sz val="14"/>
        <color rgb="FF000000"/>
        <rFont val="Calibri"/>
        <family val="2"/>
        <charset val="204"/>
      </rPr>
      <t xml:space="preserve">
https://www.dropbox.com/s/aox9ypvr1t4fgbq/2021-09-29_13-08-37.png?dl=0</t>
    </r>
  </si>
  <si>
    <t>Хостинг</t>
  </si>
  <si>
    <t>Наличие ключа в URL</t>
  </si>
  <si>
    <t>С приходом YATI значительно возросла значимость наличия ключа в url и в домене.</t>
  </si>
  <si>
    <r>
      <rPr>
        <b/>
        <sz val="14"/>
        <rFont val="Calibri"/>
        <family val="2"/>
        <charset val="204"/>
        <scheme val="minor"/>
      </rPr>
      <t>Пример:</t>
    </r>
    <r>
      <rPr>
        <sz val="14"/>
        <rFont val="Calibri"/>
        <family val="2"/>
        <charset val="204"/>
        <scheme val="minor"/>
      </rPr>
      <t xml:space="preserve">
https://www.dropbox.com/s/jq11zx3uc65kl5v/2021-09-29_13-42-53.png?dl=0</t>
    </r>
  </si>
  <si>
    <t>Яндек.Бизнес и присвоение региона</t>
  </si>
  <si>
    <t>Тут правила игры меняются прямо на ходу в данный момент. Яндекс начинает активно отключать фейковые регионы, просит видео офиса и документы, что компания в самом деле находится по адресу, потому с фейками стало намного сложнее. Но все-равно - присвоение региона сегодня дает очень мощный бонус в ранжировании внутри этого региона. Нужна именно физическая привязка с адресом, онлайн-организация особого смысла не имеет, но все может измениться на ходу.</t>
  </si>
  <si>
    <t>Необходимо проанализировать работу хостинга, на котором размещен сайт. Неправильно подобранный хостинг может стать причиной проблем с быстродействием сайта, а также с превышением нагрузки на сервер. Крайне желательно выбирать популярный проверенный хостинг, еще лучше - проконсультироваться в выборе хостинга со специалистами.</t>
  </si>
  <si>
    <r>
      <t xml:space="preserve">Пример хостинга, который я использую:
</t>
    </r>
    <r>
      <rPr>
        <sz val="14"/>
        <color theme="1"/>
        <rFont val="Calibri"/>
        <family val="2"/>
        <charset val="204"/>
      </rPr>
      <t>reg.ru</t>
    </r>
  </si>
  <si>
    <t>Сервис для проведения технического анализа сайта.
Позволяет выявить дубликаты страниц, дубликаты тайтлов, описаний и много других важных параметров.
https://www.seowizard.ru/projects/ Мощный лайфхак, чтобы сильно сэкономить денег на проведении такого аудита - создать в Визард сейп проект для продвижения и тут же поставить на паузу и в таком случае - проведение технического аудита для этого сайта станет намного дешевле!</t>
  </si>
  <si>
    <r>
      <t xml:space="preserve">Необходимо проверить скрытие страниц с параметрами от индексации. Запросы с параметрами - когда после основного url идет знак "?" и далее технический адрес. Такие страницы должны быть либо закрыты от индексации, либо склеены с основным адресом с помощью канонической ссылки (иметь метатег с атрибутом rel="canonical").
</t>
    </r>
    <r>
      <rPr>
        <sz val="14"/>
        <rFont val="Calibri (Основной текст)"/>
        <charset val="204"/>
      </rPr>
      <t>По последним рекомендациям Яндекса, такие страницы должны скрываться с помощью директивы clean-param в robots.txt</t>
    </r>
  </si>
  <si>
    <t>Очень важный пункт</t>
  </si>
  <si>
    <t>Следует понимать, что отсутствие какого-либо элемента в сохраненке означает, что он точно не учитывается в ранжировании, НО нличие чего-то в сохраненке не дает 100% гарантии того, что этот элемент участвует в ранжировании</t>
  </si>
  <si>
    <t>Если у вас на сайте работает SEO фильтр - будьте с ним крайне осторожны - эта технология легко может похоронить ваш сайт. При формировании срезов фильтрации товаров крайне важно не допускать создания пустых выборок, под которые в природе не существует товаров. Срезы категория + бренд можно использовать практически на каждом сайте.
Бездумной генерацией можно убить сайт!</t>
  </si>
  <si>
    <r>
      <t>Labrika</t>
    </r>
    <r>
      <rPr>
        <sz val="14"/>
        <color rgb="FF000000"/>
        <rFont val="Calibri"/>
        <family val="2"/>
      </rPr>
      <t xml:space="preserve">- основной сервис с которым я работаю. Тут очень классный техаудит есть фишки которые не покажут другие пауки. Есть кластеризатор но работает не очень. Можно выгрузить плотность свою структуру и увидеть слабые страницы, также можно сделать аудит по ПФ, составить самый кликабельный сниппет. Показывает переспам по BM25 и рекомендации по использованию ключевых слов и анкорах и текстах. Можно визульно посмотреть все текста анкоров и весь текстовый контент. </t>
    </r>
  </si>
  <si>
    <t>https://labrika.ru</t>
  </si>
  <si>
    <t>Аудит сайта</t>
  </si>
  <si>
    <t>Качественный, быстрый и недорогой аудит сайта от Sape</t>
  </si>
  <si>
    <t>https://www.seowizard.ru/siteaudit/</t>
  </si>
  <si>
    <t>https://vk.com/lseo_blog?w=wall-160192855_14723</t>
  </si>
  <si>
    <t>Особенности и глюки YATI</t>
  </si>
  <si>
    <t>В одном месте подвел всю актуальную статистику по алгоритму YATI:
- почему растет значимость ширины облака
- почему падает значимость глубины облака
- как меняется формула текстового ранжирования
- как работает переспам
- как работают ПФ внутри ТОП 10
- почему Яшка индексирует страницы, закрытые от индексации
- почему и как Яшка индексирует страницы, которых уже пол года нет на сайте
- что случилось 3-го Августа 2021
- глюки кеша
И многое-многое другое!</t>
  </si>
  <si>
    <t>https://vk.com/@lseo_blog-filtr-za-kachestvo-stranic-i-semantiki</t>
  </si>
  <si>
    <t>Фильтр за качество страниц и семантики</t>
  </si>
  <si>
    <t>Падение на 20-30 пунктов в Яндекс. Продолжение истории с НКС, про которую уже много тут писали.
В этой статье ты найдешь информацию о массовом падении сайтов весной 2021 года и как спасать ситуацию. История, кстати массовая. И лекарство уже есть. 
С каждым днем все больше и больше сайтов, излеченных этим методом</t>
  </si>
  <si>
    <t>https://www.figma.com/</t>
  </si>
  <si>
    <t>Он-лайн редактор для верстки графических изображений</t>
  </si>
  <si>
    <t>Векторный графический он-лайн редактор предназначен для отрисовки элементов интерфейса, создания интерактивных макетов, прототипов и векторных файлов. В последнее время активно используется при разработке сайтов на этапе прототипирования и отрисовки дизайна сайтов. В последние годы успешно вытесняет Photoshop в сфере разработки сайтов.</t>
  </si>
  <si>
    <t>https://converseo.ru/</t>
  </si>
  <si>
    <t>https://converseo.ru/tools/response/</t>
  </si>
  <si>
    <t>Проверка ответа сервера</t>
  </si>
  <si>
    <t>Сервис, позвляющий массово проверять ответ сервера по списку страниц. Работает бесплатно.</t>
  </si>
  <si>
    <t>https://tinypng.com/</t>
  </si>
  <si>
    <t>Сервис для сжатия изображений</t>
  </si>
  <si>
    <t>Сервис позволяет сжимать изображения перед загрузкой на сайт.</t>
  </si>
  <si>
    <t>https://csscompressor.com/</t>
  </si>
  <si>
    <t>Сервис для сжатия css</t>
  </si>
  <si>
    <t>Сервис позволяет сжимать css файлы</t>
  </si>
  <si>
    <t>https://beautifier.io/</t>
  </si>
  <si>
    <t>Преобразование js кода</t>
  </si>
  <si>
    <t>Сервис для декомпрессии js кода</t>
  </si>
  <si>
    <t>https://www.font2web.com/</t>
  </si>
  <si>
    <t>Конвертация web шрифтов</t>
  </si>
  <si>
    <t>Сервис для конвертации web-шрифтов популярных форматов (ttf, otf, eot, woff и др.)</t>
  </si>
  <si>
    <t xml:space="preserve">Страницы товаров и страницы списков товаров необходимо разметить микроразметкой shema.org Данная микроразметка является универсальной, и позволяет сделать страницы сайта более понятными для поисковых систем, структурированнымы и облегчить поисковым системам и специальным программам извлечение и обработку информации для удобного её представления в результатах поиска.
Протестировать корректнось микроразметки можно в Яндекс Вебмастере (инструмент Валидатор микроразметки):
https://webmaster.yandex.ru/tools/microtest/
и в Google:
https://developers.google.com/search/docs/advanced/structured-data?hl=ru 
</t>
  </si>
  <si>
    <t>Делегирование и поиск сотрудников</t>
  </si>
  <si>
    <t>Планер рабочего времени, постановщик задач</t>
  </si>
  <si>
    <t>https://trello.com/</t>
  </si>
  <si>
    <t>Биржи фриланса для поиска сотрудников и специалистов</t>
  </si>
  <si>
    <t>https://kwork.ru/</t>
  </si>
  <si>
    <t>https://www.etxt.ru/</t>
  </si>
  <si>
    <t>Оптимизация эффектиности рабочего дня</t>
  </si>
  <si>
    <t>Тайминг по технике Помодоро</t>
  </si>
  <si>
    <t>Кратко о технике
Техника Помодоро — детище Франческо Чирилло, итальянского студента из 80-х, который искал способ сконцентрироваться на учёбе, для чего утащил с кухни таймер в виде помидорки. Суть техники очень простая:
Выбрать задачу, над которой хочешь работать.
Поставить таймер на 25 минут.
Усиленно работать над этой задачей 25 минут.
После — сделать перерыв в 5 минут.
Потом — снова сосредоточенно работать 25 минут.
После 4-х «помидорных» циклов — сделать большой перерыв в 15-30 минут.</t>
  </si>
  <si>
    <t>https://singularity-app.com/</t>
  </si>
  <si>
    <t>Самый удобный веб- и десктоп помодоро среди планировщиков дел и задач, есть бесплатный период с Pro возможностями на 14 дней
Таймер легко найти — в верхнем правом углу есть иконка. При клике открывается окно, где можно выбрать размер помидорки. Пройденные «помидорные» циклы будут закрашиваться в ячейках под цифрами. Устанавливается на все возможные устройства.</t>
  </si>
  <si>
    <t>https://pomidorko.ru/</t>
  </si>
  <si>
    <t>Простейший помидорковый веб-сервис с одной-единственной функцией: отсчитывать время интервалов. В настройках можно задать не только их длину и количество, но и разрешить таймеру бесяще тикать и, конечно, издавать сигнал по завершению цикла.</t>
  </si>
  <si>
    <t>https://pomodoro-tracker.com/</t>
  </si>
  <si>
    <t>Ещё один веб-сервис с менее стильным дизайном. Зато внутри можно накидать задач, и чекать их при выполнении со звуком приплывшего в порт корабля (такой же раздаётся, когда помидорный цикл подошел к концу). Настройки гибкие: и длину, и количество интервалов можно задать, автостарт трекера разрешать/запрещать и даже ставить цель на день — сколько помидорок хочешь сделать.</t>
  </si>
  <si>
    <t>Моя любимая биржа копирайтеров. Всех своих копирайтеров я нашел тут. Надо иметь в виду, что как и на любой другой бирже тут очень много недобросовестных исполнителей, а потому необходимо быть максимально бдительным.</t>
  </si>
  <si>
    <t>Популярная биржа фрилансеров, удобно быстро найти сотрудника по рубрикам. Много предложений от специалистов. Можно быстро найти исполнителя среди программистов для задач на популярных движках. Часто встрчаются толковые, обучаемые копирайтры, готовые сотрудничать и в SEO. Надо иметь в виду, что минимальная стоимость первого заказа сделана как товар -локомотив и исполнители этим умело пользуются, но и мы тоже можем это использовать, понимая преимущества и недостатки модели. Очень важно джетально обсуждать нюансы проекта на берегу.</t>
  </si>
  <si>
    <t>Именно этот сервис я использовал для построения удаленной веб-студии. Невероятно удобно, но нужно привыкнуть. Еще раз - невероятно удобно - начните пользоваться и никогда не пожалеете об этом, я вас уверяю!!!</t>
  </si>
  <si>
    <t>Заголовок и Первый абзац</t>
  </si>
  <si>
    <t>Основа юзабилити для информационного сайта это притягательный заголовок, который попадает на первый экран, например - 10 СОВЕТОВ, КАК СЭКОНОМИТЬ НА ЗИМНЕЙ РЕЗИНЕ. Люди любят списки и подборки. Заголовок должен попадать на первый экран. Помимо заголовка - самый важный фактор, определяющий то, останется ли пользователь на вашем сайте и продолжит чтение или нет - это первый абзац текста. Первый абзац - это затравка, в нем должно быть все самое интересное и первый абзац, если уж быть предельно откровенным - важнее всего остального текста, ведь именно на нем пользователь примет решение читать дальше или пойти искать другой сайт в сети.</t>
  </si>
  <si>
    <t>Домен на территории РФ</t>
  </si>
  <si>
    <t>https://vk.com/lseo_blog?w=wall-160192855_17329</t>
  </si>
  <si>
    <t>Отзывы на яндекс картах</t>
  </si>
  <si>
    <r>
      <t xml:space="preserve">Пример: </t>
    </r>
    <r>
      <rPr>
        <sz val="14"/>
        <color theme="1"/>
        <rFont val="Calibri"/>
        <family val="2"/>
        <charset val="204"/>
      </rPr>
      <t>https://disk.yandex.ru/i/ObwEMERgtGL-8Q</t>
    </r>
  </si>
  <si>
    <t>Отзывы от знатоков города высокого уровня очень сильно увеличивают шансы на выживание фейкового адреса. При этом покупка отзывов - плохой путь, очень часто они вылетают и палятся пачками. Лучше прокачивать свои аккаунты и аккаунты знакомых.</t>
  </si>
  <si>
    <t>Иконки инстаграм и фейсбук</t>
  </si>
  <si>
    <t>Есть вероятность, что размещение ссылок и логотипов Facebook и Instagram могут повлечь за собой штрафы, так как эти организации признаны экстремистскими на территории РФ. Пока прецедентов не было.</t>
  </si>
  <si>
    <t>Хостинг на территории РФ</t>
  </si>
  <si>
    <t>В связи с опасностью удаления сайта самим хостингом, лучше покупать российский хостинг</t>
  </si>
  <si>
    <t>Иностранный сервис покупки доменов так же может заблокировать ваш аккаунт, и вы останетесь без домена</t>
  </si>
  <si>
    <r>
      <rPr>
        <b/>
        <sz val="14"/>
        <rFont val="Calibri"/>
        <family val="2"/>
        <charset val="204"/>
        <scheme val="minor"/>
      </rPr>
      <t xml:space="preserve">Пример:
</t>
    </r>
    <r>
      <rPr>
        <sz val="14"/>
        <rFont val="Calibri"/>
        <family val="2"/>
        <charset val="204"/>
        <scheme val="minor"/>
      </rPr>
      <t xml:space="preserve">https://www.dropbox.com/s/1thsfdfk8j2qysj/2021-09-29_11-24-10.png?dl=0 </t>
    </r>
    <r>
      <rPr>
        <b/>
        <sz val="14"/>
        <rFont val="Calibri"/>
        <family val="2"/>
        <charset val="204"/>
        <scheme val="minor"/>
      </rPr>
      <t xml:space="preserve">
Справка Яндекса: </t>
    </r>
    <r>
      <rPr>
        <sz val="14"/>
        <rFont val="Calibri"/>
        <family val="2"/>
        <charset val="204"/>
        <scheme val="minor"/>
      </rPr>
      <t>https://yandex.ru/support/webmaster/threats/lowqualitysite.html</t>
    </r>
  </si>
  <si>
    <t>Мало полезный контент (бывшие недостаточно качественные страницы)</t>
  </si>
  <si>
    <r>
      <t xml:space="preserve">Необходимо выгрузить список малоценных или маловостребованных страниц из вебмастера, и принять меры по устранению таких страниц.
Преимущественно, страницы выпадают в недостаточно качественные по причине своей неуникальности на данном сайте.
В большинстве случаев, уникализация страниц сайта в пределах своего сайта позволяет исключить данные страницы из Недостаточно качественных. Для уникализации страниц можно использовать вывод связанных продуктов, тестовые блоки, вывод характеристик и т.д. Так же можно пересмотреть контент самой страницы, добавив участок качественного, неспамного текста и перераспределить блоки по страницей даже без поднятия ее уникальности, есть набор гипотез, подтверждающих этот подход.
Яндекс обновили справку, из нее мы понимаем, что страницы МПК - это не всегда страницы, неуникальные друг относительно друга. Уже есть примеры успешного внедрения неуникальных, но </t>
    </r>
    <r>
      <rPr>
        <b/>
        <sz val="14"/>
        <rFont val="Calibri"/>
        <family val="2"/>
        <charset val="204"/>
        <scheme val="minor"/>
      </rPr>
      <t>полезных с точки зрения пользователя блоков</t>
    </r>
    <r>
      <rPr>
        <sz val="14"/>
        <rFont val="Calibri"/>
        <family val="2"/>
        <charset val="204"/>
        <scheme val="minor"/>
      </rPr>
      <t xml:space="preserve"> (например отзывы). </t>
    </r>
  </si>
  <si>
    <t>Подлив Директа и вывод на конверсию</t>
  </si>
  <si>
    <t>Для любого сайта - и молодого, и в возрасте очень важен подлив директа. По сути, это легальная и белая накрутка ПФ. При этом, если правильно настроенный директ у вас уходит в минус - это говорит о том, что плохо настроена юзабилити и конверсия сайта. А это повлечет за собой органический вылет из ТОП-10, если вы ее туда поставили с помощью текстовой релевантности, потому что самый важный поведенческий фактор - это ласт клик. Напрямую определить этот параметр мы не можем, а косвенный фактор - конверсия. Высокая конверсия сайта = качественные естественные ПФ.</t>
  </si>
  <si>
    <t>Качественные отзывы на карточках товара</t>
  </si>
  <si>
    <t>Отзывы на карточках товара очень важны и полезны с точки зрения пользователя. Кроме этого, грамотно внедренный блок с отзывами на карточки товаров позволяет избежать попадание страниц карточек товара в малоценные и маловостребованные страницы.</t>
  </si>
  <si>
    <t>Очень важно мотивировать настоящих покупателей оставлять отзывы за различные бонусы, скидки и подарки. Они существенно помогают ранжированию.</t>
  </si>
  <si>
    <t>Калькуляторы и квизы</t>
  </si>
  <si>
    <t>Для сайтов услуг калькуляторы и квизы, размещенные на странице, существенно помогают улучшить естественные поведенческие факторы. Используйте это.</t>
  </si>
  <si>
    <t>Мультирегиональность: самый большой урок</t>
  </si>
  <si>
    <t xml:space="preserve">Основные темы, рассмотренные внутри:
1. ГЗ/ГНЗ запросы в Яндекс и в Гугл
2. Особенности региональной выдачи и падение качества
3. Сводка статистики на основе 1500 запросов по устройству ТОП 15 Яндекс
4. Значимость региональной привязки/Релевантности в регионах
5. Особенности региональной привязки и фейки
6. Что на самом деле изменилось в привязке фейковых адресов
7. Основные подходы мультирегиональности на живых примерах
8. Сети сайтов в мультирегниональности (+ примеры)
9. Подходы, которые использую лично я и почему
10. Ключевой вывод
</t>
  </si>
  <si>
    <t>Качественные отзывы на карточке организации на  Яндекс картах</t>
  </si>
  <si>
    <t>Качественные отзывы на карточке организации на Яндекс картах</t>
  </si>
  <si>
    <t>ТЗ на тексты</t>
  </si>
  <si>
    <t>https://tzmonster.pro/</t>
  </si>
  <si>
    <t>Хороший сервис для подготовки ТЗ на тексты</t>
  </si>
  <si>
    <t>Как надо</t>
  </si>
  <si>
    <t>Важность</t>
  </si>
  <si>
    <t>Кто делает</t>
  </si>
  <si>
    <t>Комментарий</t>
  </si>
  <si>
    <t>Внешняя оптимизация</t>
  </si>
  <si>
    <t>Анализ на базе результатов Спайдера</t>
  </si>
  <si>
    <t xml:space="preserve">продвигаемый сайт - 
</t>
  </si>
  <si>
    <t>кол-во сайтов, имеющих КФ</t>
  </si>
  <si>
    <t>Значения нижнего порога (включительно)</t>
  </si>
  <si>
    <t>Пояснения:</t>
  </si>
  <si>
    <t>Значения, которые могут быть в ячейках</t>
  </si>
  <si>
    <t>листа нет</t>
  </si>
  <si>
    <t>уже есть</t>
  </si>
  <si>
    <t>+</t>
  </si>
  <si>
    <t>ШАПКА САЙТА</t>
  </si>
  <si>
    <t>не нужно</t>
  </si>
  <si>
    <t>-</t>
  </si>
  <si>
    <t>Логотип</t>
  </si>
  <si>
    <t>внедрить по желанию</t>
  </si>
  <si>
    <t xml:space="preserve"> </t>
  </si>
  <si>
    <t>Название</t>
  </si>
  <si>
    <t>рекомендовано внедрить</t>
  </si>
  <si>
    <t>Описание деятельности</t>
  </si>
  <si>
    <t>обязательно внедрить</t>
  </si>
  <si>
    <t>Выбор города</t>
  </si>
  <si>
    <t>Дни работы</t>
  </si>
  <si>
    <t>Город Казань</t>
  </si>
  <si>
    <t>Коммерческие разделы</t>
  </si>
  <si>
    <t>Список понравившихся товаров</t>
  </si>
  <si>
    <t>О компании</t>
  </si>
  <si>
    <t>Список товаров для сравнения</t>
  </si>
  <si>
    <t>Акции / Акции и скидки</t>
  </si>
  <si>
    <t>Вынести в меню, пункт есть в подпункте"Компания"</t>
  </si>
  <si>
    <t>Цены</t>
  </si>
  <si>
    <t>Оптовые продажи</t>
  </si>
  <si>
    <t>Список просмотренных товаров</t>
  </si>
  <si>
    <t>Обмен/возврат</t>
  </si>
  <si>
    <t>Новости</t>
  </si>
  <si>
    <t>Блог</t>
  </si>
  <si>
    <t>Номер 8-800</t>
  </si>
  <si>
    <t>Клиентам</t>
  </si>
  <si>
    <t>Личный кабинет</t>
  </si>
  <si>
    <t>Способы оплаты</t>
  </si>
  <si>
    <t>Благодарственные письма</t>
  </si>
  <si>
    <t>Оплата</t>
  </si>
  <si>
    <t>Сертификаты</t>
  </si>
  <si>
    <t>Преимущества</t>
  </si>
  <si>
    <t>Рассрочка/кредит</t>
  </si>
  <si>
    <t>Гарантия</t>
  </si>
  <si>
    <t>Вакансии</t>
  </si>
  <si>
    <t>Доставка</t>
  </si>
  <si>
    <t>Контакты</t>
  </si>
  <si>
    <t>Городской номер</t>
  </si>
  <si>
    <t>Мобильный номер</t>
  </si>
  <si>
    <t>Whatsapp</t>
  </si>
  <si>
    <t>Instagram</t>
  </si>
  <si>
    <t>Вконтакте</t>
  </si>
  <si>
    <t>Telegram</t>
  </si>
  <si>
    <t>Viber</t>
  </si>
  <si>
    <t>YouTube</t>
  </si>
  <si>
    <t>Почта на собственном домене</t>
  </si>
  <si>
    <t>Кнопка заказа обратного звонка</t>
  </si>
  <si>
    <t>Написать смс</t>
  </si>
  <si>
    <t>Отзывы</t>
  </si>
  <si>
    <t>Реквизиты</t>
  </si>
  <si>
    <t>Производители</t>
  </si>
  <si>
    <t>Услуги</t>
  </si>
  <si>
    <t>ПОДВАЛ САЙТА</t>
  </si>
  <si>
    <t>Онлайн оплата</t>
  </si>
  <si>
    <t>Часы работы</t>
  </si>
  <si>
    <t>e-mail на своем домене</t>
  </si>
  <si>
    <t>Facebook</t>
  </si>
  <si>
    <t>Сохранить/поделиться</t>
  </si>
  <si>
    <t>Выбрать город</t>
  </si>
  <si>
    <t>Адрес пункта выдачи</t>
  </si>
  <si>
    <t>Карта</t>
  </si>
  <si>
    <t>Наименование организации</t>
  </si>
  <si>
    <t>ИНН</t>
  </si>
  <si>
    <t>ОГРН</t>
  </si>
  <si>
    <t>Копирайт</t>
  </si>
  <si>
    <t>Год создания</t>
  </si>
  <si>
    <t>Акции и/или скидки</t>
  </si>
  <si>
    <t>Покупателям</t>
  </si>
  <si>
    <t>Политика конфиденциальности</t>
  </si>
  <si>
    <t>Рассылка</t>
  </si>
  <si>
    <t>Рейтинг Яндекс.Маркет</t>
  </si>
  <si>
    <t>ГЛАВНАЯ СТРАНИЦА</t>
  </si>
  <si>
    <t>Баннер</t>
  </si>
  <si>
    <t>Категории</t>
  </si>
  <si>
    <t>Категории (теги)</t>
  </si>
  <si>
    <t>Скидочные товары</t>
  </si>
  <si>
    <t>Товар дня</t>
  </si>
  <si>
    <t>Премиум товары</t>
  </si>
  <si>
    <t>Кредит и рассрочка</t>
  </si>
  <si>
    <t>Блок популярных товаров</t>
  </si>
  <si>
    <t>Последние отзывы</t>
  </si>
  <si>
    <t>Блок помощь - телефон, мессенджеры, почта</t>
  </si>
  <si>
    <t>Боковые баннеры</t>
  </si>
  <si>
    <t>Боковое меню</t>
  </si>
  <si>
    <t>Новинки</t>
  </si>
  <si>
    <t>Преимущества компании</t>
  </si>
  <si>
    <t>Бренды</t>
  </si>
  <si>
    <t>FAQ</t>
  </si>
  <si>
    <t>Статьи</t>
  </si>
  <si>
    <t>Текст</t>
  </si>
  <si>
    <t>Видео</t>
  </si>
  <si>
    <t>СТРАНИЦА КАРТОЧКИ ТОВАРА</t>
  </si>
  <si>
    <t>Обзор</t>
  </si>
  <si>
    <t>Отзывы о товаре</t>
  </si>
  <si>
    <t>Поделиться - все соцсети</t>
  </si>
  <si>
    <t>Фото</t>
  </si>
  <si>
    <t>Тегирование по бренду</t>
  </si>
  <si>
    <t>Тегирование по площади</t>
  </si>
  <si>
    <t>Тегирование по контуру</t>
  </si>
  <si>
    <t>Тегирование по мощности</t>
  </si>
  <si>
    <t>Тегирование по камере сгорания</t>
  </si>
  <si>
    <t>Тегирование по стране сборки</t>
  </si>
  <si>
    <t>Звезды рейтинга</t>
  </si>
  <si>
    <t>В наличии</t>
  </si>
  <si>
    <t>Баллы за покупку</t>
  </si>
  <si>
    <t>Количество</t>
  </si>
  <si>
    <t>В корзину</t>
  </si>
  <si>
    <t>Купить в 1 клик</t>
  </si>
  <si>
    <t>Получить скидку</t>
  </si>
  <si>
    <t>Избранное/Сравнение</t>
  </si>
  <si>
    <t>Заказ по телефону</t>
  </si>
  <si>
    <t>Купить в кредит</t>
  </si>
  <si>
    <t>Тегирование по категориям</t>
  </si>
  <si>
    <t>Таб описание</t>
  </si>
  <si>
    <t>Таб характеристики</t>
  </si>
  <si>
    <t>Таб отзывы</t>
  </si>
  <si>
    <t>Таб гарантии и оплата</t>
  </si>
  <si>
    <t>Таб наши специалисты</t>
  </si>
  <si>
    <t>Отзывы клиентов в фото</t>
  </si>
  <si>
    <t>Видео-отзывы</t>
  </si>
  <si>
    <t>Блок популярные товары</t>
  </si>
  <si>
    <t>Блок рекомендуем посмотреть</t>
  </si>
  <si>
    <t>Блок последние просмотренные</t>
  </si>
  <si>
    <t>Блок похожие товары</t>
  </si>
  <si>
    <t>Таб Как купить</t>
  </si>
  <si>
    <t>Таб Доставка</t>
  </si>
  <si>
    <t>Таб вопросы о товаре</t>
  </si>
  <si>
    <t>Таб документация</t>
  </si>
  <si>
    <t>КАТАЛОГ</t>
  </si>
  <si>
    <t>Блок с категориями и картинками</t>
  </si>
  <si>
    <t>СТРАНИЦА КАТЕГОРИИ - котлы отопления</t>
  </si>
  <si>
    <t>Фильтр по цене</t>
  </si>
  <si>
    <t>Фильтр по площади</t>
  </si>
  <si>
    <t>Фильтр по бренду</t>
  </si>
  <si>
    <t>Фильтр страна сборки</t>
  </si>
  <si>
    <t>Фильтр тип котла</t>
  </si>
  <si>
    <t>Фильтр установка</t>
  </si>
  <si>
    <t>Фильтр количество контуров</t>
  </si>
  <si>
    <t>Фильтр камера сгорания</t>
  </si>
  <si>
    <t>Фильтр мощность</t>
  </si>
  <si>
    <t>Фильтр конденсационный</t>
  </si>
  <si>
    <t>Фильтр энергозависимый</t>
  </si>
  <si>
    <t>Фильтр управление</t>
  </si>
  <si>
    <t>Категории котлов картинками</t>
  </si>
  <si>
    <t>Популярные категории тегами</t>
  </si>
  <si>
    <t>Товары с пагинацией</t>
  </si>
  <si>
    <t>Фильтр теплообменник</t>
  </si>
  <si>
    <t>Фильтр исполнение</t>
  </si>
  <si>
    <t>Фильтр вид топлива</t>
  </si>
  <si>
    <t>Фильтр Новинка / Советуем / Хит</t>
  </si>
  <si>
    <t>Ранее просмотренные</t>
  </si>
  <si>
    <t>С этим товаров покупают</t>
  </si>
  <si>
    <t>Фильтр габаритов</t>
  </si>
  <si>
    <t>Вебмастер</t>
  </si>
  <si>
    <t>Сайт закрыт для индексирования в файле robots.txt</t>
  </si>
  <si>
    <t>Не удалось подключиться к серверу из-за ошибки DNS</t>
  </si>
  <si>
    <t>Не удалось подключиться из-за ошибки сервера</t>
  </si>
  <si>
    <t>Главная страница сайта недоступна для робота</t>
  </si>
  <si>
    <t>Обнаружены нарушения или проблемы с безопасностью</t>
  </si>
  <si>
    <t>При попытке скачать данные с сайта не удалось подключиться к серверу из-за ошибки DNS. Если роботы не смогут получить доступ к серверу, сайт может полностью пропасть из поиска. Возможно, пользователи также не могут попасть на сайт.</t>
  </si>
  <si>
    <t>Ошибка может быть связана, например, с настройками сервера или высокой нагрузкой. Чтобы решить проблему, обратитесь к владельцу хостинга.Если роботы не смогут получить доступ к серверу, сайт может полностью пропасть из поиска.</t>
  </si>
  <si>
    <t>При обращении к главной странице сайта не удалось получить документ. Поскольку страница недоступна для робота, она может быть исключена из результатов поиска.Проверьте ответ сервера и при необходимости обратитесь к хостинг-провайдеру.</t>
  </si>
  <si>
    <t>Найдены страницы-дубли с GET-параметрами</t>
  </si>
  <si>
    <t>Некоторые страницы сайта часто отвечают HTTP-кодом 5xx</t>
  </si>
  <si>
    <t>Некоторые страницы сайта отвечают HTTP-кодом 4xx</t>
  </si>
  <si>
    <t>Некорректная настройка SSL-сертификата</t>
  </si>
  <si>
    <t>Долгий ответ сервера</t>
  </si>
  <si>
    <t>Главная страница перенаправляет на другой сайт</t>
  </si>
  <si>
    <t>На страницах есть одинаковые заголовки и описания</t>
  </si>
  <si>
    <t>Не найден файл robots.txt</t>
  </si>
  <si>
    <t>Не включён обход по счётчикам</t>
  </si>
  <si>
    <t>Файлы Sitemap давно не обновлялись</t>
  </si>
  <si>
    <t>Некоторые страницы сайта дублируют друг друга</t>
  </si>
  <si>
    <t>Отсутствуют метатеги &lt;Description&gt;</t>
  </si>
  <si>
    <t>Найдены полезные страницы, закрытые от индексирования</t>
  </si>
  <si>
    <t>Главное зеркало сайта не использует HTTPS-протокол</t>
  </si>
  <si>
    <t>В результатах поиска найдены поддомены сайта</t>
  </si>
  <si>
    <t>Отсутствуют теги &lt;title&gt;</t>
  </si>
  <si>
    <t>Нет используемых роботом файлов Sitemap</t>
  </si>
  <si>
    <t>Некорректно настроено отображение несуществующих файлов и страниц</t>
  </si>
  <si>
    <t>Ошибки в файле robots.txt</t>
  </si>
  <si>
    <t>Обнаружены ошибки в файлах Sitemap</t>
  </si>
  <si>
    <t>Файл favicon недоступен для робота</t>
  </si>
  <si>
    <t>Sitemap</t>
  </si>
  <si>
    <t>Файл favicon не найден</t>
  </si>
  <si>
    <t>Добавьте файл favicon в формате SVG или размером 120 × 120 пикселей</t>
  </si>
  <si>
    <t>Сайт не оптимизирован для мобильных устройств</t>
  </si>
  <si>
    <t>Статистика обхода</t>
  </si>
  <si>
    <t>Проблемы с доступностью сайта</t>
  </si>
  <si>
    <t>фавикон</t>
  </si>
  <si>
    <t>Страницы в поиске</t>
  </si>
  <si>
    <t>Пункт</t>
  </si>
  <si>
    <t xml:space="preserve">Проблема </t>
  </si>
  <si>
    <t>Установлены ли сервисы</t>
  </si>
  <si>
    <t>Корректно ли настроен файл robots.txt</t>
  </si>
  <si>
    <t>Корректная индексация сайта</t>
  </si>
  <si>
    <t>Безопасность сайта и ssl</t>
  </si>
  <si>
    <t>Вот тут можно посмотреть скорость сайта и обратить на нее внимание</t>
  </si>
  <si>
    <t>Быстрый чек проблем, которые подробнее покажет спайдер</t>
  </si>
  <si>
    <t xml:space="preserve">Для быстрой правки подойдет. </t>
  </si>
  <si>
    <t>Есть проблемы. Нужно внимательно смотреть метрику</t>
  </si>
  <si>
    <t>Если нужно индексировать сайт быстрее - включайте, но внимательно мониторьте мусор в индексе</t>
  </si>
  <si>
    <t>В таком формате логотип вашего сайта станет четче и заметнее на сервисах Яндекса, в том числе, в результатах поиска. Как установить файл favicon. Необходимо проверить наличие Favicon/Apple icon на сайте. Для появления иконки Apple загрузите в корень сайта картинку (размером 60 на 60 пикселей) с названием "apple-touch-icon.png). Это самый простейший способ
Можно сделать чуть сложнее, но иконка будет качественнее, и индивидуальнее для разных мониторов
&lt;link rel="apple-touch-icon" href="touch-icon-iphone.png"&gt;
&lt;link rel="apple-touch-icon" sizes="76x76" href="touch-icon-ipad.png"&gt;
&lt;link rel="apple-touch-icon" sizes="120x120" href="touch-icon-iphone-retina.png"&gt;
&lt;link rel="apple-touch-icon" sizes="152x152" href="touch-icon-ipad-retina.png"&gt;
И положить по указанному адресу иконки соответствующих размеров. Генератор иконок -  https://realfavicongenerator.net/</t>
  </si>
  <si>
    <t xml:space="preserve">Пример:
https://www.mvideo.ru/ggg
https://www.dropbox.com/s/04nhrcyy02o7vq0/2021-09-29_11-27-07.png?dl=0
</t>
  </si>
  <si>
    <t>Метрика</t>
  </si>
  <si>
    <t>Технические дубли</t>
  </si>
  <si>
    <t>Какие страницы видит робот и как их обрабатывает</t>
  </si>
  <si>
    <t>Здесь можно увидеть get параметры, которые нужно закрыть в robots. Можно посмотреть страницы, которые получает робот и проверить, откуда они берутся, если нужно - закрыть. В том числе те, которые не попадают в индекс.</t>
  </si>
  <si>
    <t>Подраздел - Исключенные</t>
  </si>
  <si>
    <t>Здесь список всех проблем, от которых стоит избавляться на сайте. Редиректы нужно удалять с сайта, оставляя их только для сторонних  ресурсов, находить дубли и уникализировать их, проверить, чтобы неканонические страницы не отдавались роботу, не было МПК, были исправлены все 404 ошибки, не отдавались в индекс страницы, запрещенные мета-тегами.</t>
  </si>
  <si>
    <t>Представление в поиске</t>
  </si>
  <si>
    <t xml:space="preserve">Товарный фид </t>
  </si>
  <si>
    <t>Сниппет показывает рейтинг магазина на Маркете, а также рейтинг товара, его фотографию и цену.  Подключается здесь: https://webmaster.yandex.ru/site/https:biohacker.cc:443/serp-snippets/admin-feeds/</t>
  </si>
  <si>
    <t>Регистр имени сайта</t>
  </si>
  <si>
    <t>региональность</t>
  </si>
  <si>
    <t xml:space="preserve">Задайте правила отображения вашего домена на поиске. </t>
  </si>
  <si>
    <t>Проверить понятность и корректность настроенных целей, их ценность. Лишнее - удалить. Нужное - добавить.</t>
  </si>
  <si>
    <t>Проверить гео-привязку через веб-мастер (задаем сами, через страницу на сайте) и через Яндекс.Бизнес (привязывается черех карточку в яндекс.бизнесе). Чтобы в сниппете отображались рейтинг и телефон организации, добавьте вашу компанию в Яндекс.Бизнес.</t>
  </si>
  <si>
    <t>Цели</t>
  </si>
  <si>
    <t>Смотрим сайт и используем сторонние сервисы</t>
  </si>
  <si>
    <t>Количество страниц на сайте, в индексе гугла и яндекса</t>
  </si>
  <si>
    <t>Страницы есть в карте сайта, но ссылок на них нет на сайте или они закрыты к индексации</t>
  </si>
  <si>
    <t>Страницы открыты к индексации, но нет в карте сайта</t>
  </si>
  <si>
    <t>Профили в отзовиках</t>
  </si>
  <si>
    <t>Такие публикации или заказываются у пользователей с имеющимися аккаунтами или покупаются у уже известных местных звезд. плюс - отлично индексируются по прямым и смежным запросам. минус - отзывы могут оставлять реальные</t>
  </si>
  <si>
    <t>СМИ, экспертность</t>
  </si>
  <si>
    <t>Здесь даны только те советы, которые применимы ко всем проектам без исключения. Также обязательно нужно смотреть конкурентов, делать анализ коммерческих факторов и внедрять необходимые элементы. У каждого типа сайтов, в каждой нише и даже в кажом регионе это могут быть свои уникальные наборы. Поэтому общие рекомендации здесь могут навредить.</t>
  </si>
  <si>
    <t>Проверяем тексты на сайте на наличие спама и риска баден-бадена</t>
  </si>
  <si>
    <t>Сервис Тургенев</t>
  </si>
  <si>
    <t>Важно при разработке нового проекта, можно учесть при создании новых страниц. Для существующих не меняем!</t>
  </si>
  <si>
    <t>Редирект, заблокированный в роботс</t>
  </si>
  <si>
    <t>Битый редирект</t>
  </si>
  <si>
    <t>Бесконечный редирект</t>
  </si>
  <si>
    <t>Цепочка редиректов</t>
  </si>
  <si>
    <t>Каноникал, заблокированный в роботс</t>
  </si>
  <si>
    <t>Цепочка каноникл</t>
  </si>
  <si>
    <t>Страницы с версиями http/https</t>
  </si>
  <si>
    <t>5xx ошибки</t>
  </si>
  <si>
    <t>Заблокировано мета-тегом</t>
  </si>
  <si>
    <t>Заблокировоно x-robots</t>
  </si>
  <si>
    <t>Отсутствует или пустой файл robots</t>
  </si>
  <si>
    <t>Дубликаты страниц</t>
  </si>
  <si>
    <t>Отсутствует или пустой title</t>
  </si>
  <si>
    <t>Отсутствует или пустой дескрипшн</t>
  </si>
  <si>
    <t>Отсутствует или пустой h1</t>
  </si>
  <si>
    <t>Дубликаты тайтл</t>
  </si>
  <si>
    <t>Дубликаты дескрипшн</t>
  </si>
  <si>
    <t>Дубликаты h1</t>
  </si>
  <si>
    <t>Несколько тайтлов</t>
  </si>
  <si>
    <t>Несколько дескрипшн</t>
  </si>
  <si>
    <t>Несколько h1</t>
  </si>
  <si>
    <t>Одинаковые тайтл и h1</t>
  </si>
  <si>
    <t>Минимальный размер контента</t>
  </si>
  <si>
    <t>Короткий тайтл</t>
  </si>
  <si>
    <t>Короткий дескрипшн</t>
  </si>
  <si>
    <t>Короткий h1</t>
  </si>
  <si>
    <t xml:space="preserve">Если сайт закрыт от индексации, часто бывает после разработки, смены домена, доработок, или "подарок" от прошлых подрядчиков, Вебмастер дает об этом знать. Убедитесь в корректности файла robots.txt — обратите внимание на директиву вида Disallow: / (запрещает обход всего сайта). Проверьте robots.txt и снимите установленный запрет. </t>
  </si>
  <si>
    <t xml:space="preserve">Об этой проблеме сигнализирует Вебмастер. Если есть страницы, у которых в url содержится ?, их стоит проверить и закрыть от индексации. Часто, такие страницы дублируют содержимое других страниц. Например, https://example.com/tovary?from=mainpage дублирует https://example.com/tovary. Из-за их обхода информация о важных для вас страницах может медленнее передаваться в поисковую базу, что может влиять на состояние сайта в поиске. Такие страницы можно увидеть в разделах "Статистика обхода", "Страницы в поиске". Если они есть, рекомендуется использовать директиву Clean-param в robots.txt, в этом случае робот будет игнорировать незначащие страницы GET-параметрами и объединит все сигналы со страниц-копий на основной странице. </t>
  </si>
  <si>
    <t xml:space="preserve">Файл robots.txt содержит ошибки. Это может привести к некорректному обходу и индексированию сайта. Проверьте файл robots.txt. Могут быть неправильно указаны user-агенты, не так прописаны директивы для каждого из них. Таким предупреждением Вебмастер предупредит только о грубых ошибках. Подробнее проверить, что разрешает индексировать ваш роботс, а что запрещает, можно в разделе Инструменты/Анализ роботс или через любого спайдера. </t>
  </si>
  <si>
    <t>Робот не смог получить доступ к файлу robots.txt сайта или файл не существует. Из-за отсутствия инструкций и параметров индексирования в поиск могут попасть нежелательные страницы.</t>
  </si>
  <si>
    <t>Вебмастер проверяет, насколько часто робот получает от сайта HTTP-код 5xx. Код 500 может отдаваться разным юзер-агентам в одно время. К примеру, вы заходите на сайт и видите все страницы, а робот в это же время получает ошибку. В этом случае сайт не будет корректно индексироваться. За проблемой нужно наблюдать в режиме реального времени. Или изучить историю уведомлений.</t>
  </si>
  <si>
    <t>Вебмастер проверяет, насколько часто робот получает от сайта HTTP-код 4xx. Проверить, нужные это страницы или нет, откуда их видит робот, почему они в индексе. Необходимо добиться удаления их с сайта, карты сайта, а также исключить из индекса</t>
  </si>
  <si>
    <t>При обращении к главной странице робот получает перенаправление на другой сайт, что делает невозможным её индексирование.Проверьте ответ сервера. Лишь в некоторых случаях это может быть спланированной настройкой (в серых нишах, для разных юзер-агентов). В большинстве случаев и белых нишах это ошибка, которую нужно решать.</t>
  </si>
  <si>
    <t xml:space="preserve">При обходе сайта робот Яндекса может обнаружить страницы, которые могут привлекать посетителей, но закрытые от индексирования в файле robots.txt. Исключить ошибку закрытия таких страниц. Если все планово - игнорировать. </t>
  </si>
  <si>
    <t>Если найденные поддомены не должны участвовать в поиске, закройте их от индексирования. Если поддомены важны, работайте с ними. Один домен - один вебмастер, у каждого свой robots и sitemap</t>
  </si>
  <si>
    <t>Вероятно, на сайте некорректно настроен возврат HTTP-кода 404 Not Found. Это может помешать индексированию сайта. При вводе заведомо неправильного URL, страница должна отдавать код 404, а пользователю показываться заранее подготовленная страница, где объяснено о причинах произошедшего и должны быть предложены дальнейшие действия (возврат к сайту, переход на определенную страницу и т.д.)</t>
  </si>
  <si>
    <t>Сайт может угрожать безопасности пользователя, или на нём были обнаружены нарушения правил поисковой системы. Сайт понижают в выдаче или исключают из нее. Необходимо найти причины, исправить и отправить ресурс на проверку. Иногда помогает списаться с ТП.</t>
  </si>
  <si>
    <t>SSL-сертификат нужен для организации безопасного соединения пользователя с сайтом по протоколу HTTPS. Сообщение о проблемах с сертификатом отображается, если: Истек срок действия сертификата. Сертификат выдан на другой домен или выписан не на все поддомены, на которых используется. Сертификат Удостоверяющего центра отсутствует в браузерах пользователей или отозван. Используется самоподписанный сертификат. При создании нового сайта установка ssl обязательна. На действующем сайте установка ssl сертификата при неправильном порядке действий может привести к временной просадке по трафику приблизительно на 10-30%, поэтому по поводу целесообразности его установки нужно дополнительно проконсультироваться у знающих специалистов.
На некоторых хостингах ssl сертификаты устанавливаются бесплатно, например на beget.com Сейчас зарождается тема с установкой сертификатов от национального удостоверяющего центра. Инструмент проверки уже есть в Вебмастере.</t>
  </si>
  <si>
    <t xml:space="preserve">Рекомендуем использовать протокол HTTPS, чтобы повысить уровень безопасности сайта и доверия со стороны пользователей, а также поисковой системы. Протокол HTTPS позволяет снизить риск перехвата персональных данных пользователей и передачи этой информации третьим лицам (логины, пароли, номера банковских карт и т. д.), а также подмены информации на самом сайте (например, подмены вашей рекламы на рекламу злоумышленника). Ряд хостингов на сайтах без https в мобильной версии включают показ рекламы без ведома владельца сайта. </t>
  </si>
  <si>
    <t>При обращении к страницам сайта среднее время ответа сервера превышает 3 секунды. Если эта ошибка не временная, а постоянная, в этом случае можно начинать работы по ускорению и оптимизации работы сайта. В этом помогут сервисы pagespeed.web.dev Тест быстродействия сайта Gtmetrix.com</t>
  </si>
  <si>
    <t xml:space="preserve">Если есть проблемы со скоростью загрузки сайта и быстродействием, тогда можно обратить внимание на оптимизацию изображений. Изображения должны иметь современные форматы (желательно webp), минимальный объем при оптимальном качестве отображения.
При использовании изображений webp необходимо учитывать тот момент, что не все браузеры распознают этот формат. Для корректного использования такого формата изображений необходимы специальные модули или скрипты. Найти "тяжелые" изображения можно пауком. </t>
  </si>
  <si>
    <t xml:space="preserve">title и description в идеале должны быть разными. </t>
  </si>
  <si>
    <t xml:space="preserve">Дубли необходимо исключать из индекса. Находить причину дублирования контента и или удалять физически, или закрывать в роботс, или решать техническую проблему генерации дублей. </t>
  </si>
  <si>
    <t xml:space="preserve">Значительная часть страниц не содержит тег &lt;title&gt;, или он некорректно заполнен. У каждой страницы должен быть 1 уникальный тайтл. </t>
  </si>
  <si>
    <t>На многих страницах сайта отсутствуют или некорректно заполнены метатеги Description. У каждой страницы должен быть 1 уникальный дескрипшн</t>
  </si>
  <si>
    <t>Проверьте, не нужно ли обновить файлы Sitemap. В идеале - настроить автоматически обновляемые файлы. Сделать это можно через плагины. Если возможности нет, можно генерировать вручную, но каждый раз, если меняются или добавляются url. То обновлять эти файлы.</t>
  </si>
  <si>
    <t xml:space="preserve">В одном или нескольких файлах Sitemap обнаружены ошибки, которые могут повлиять на обработку файлов индексирующим роботом. Ошибки могут быть из-за не верного формата карты, из-за присутствия в карте ссылок, запрещнных к индексации, а также из-за превышения количества ссылок. При большом кол-ве ссылок бот может не дождаться получения инфы с сервера. рекомендуется разбивать карты на разные части. </t>
  </si>
  <si>
    <t xml:space="preserve">Проверить, открыт ли фавикон для индексации роботом. Открывается ли по прямой ссылке. Передать проблему для решения программисту. </t>
  </si>
  <si>
    <t>Проверить склейку страниц со знаком слеш "/" в конце. Нельзя, чтобы страницы открывались по двум адресам: https://www.mvideo.ru/ и https://www.mvideo.ru. Если открываются, делаем редирект в файле .htaccess . Если в индексе поисковыхь систем есть расклеенные страницы выбираем тех что больше, например со / и настраиваем редирект на /. Проверять необходимо для главной и внутренних страниц. А также проверить на наличие нескольких //// подряд</t>
  </si>
  <si>
    <t>Предупреждение может сигнализировать о реальных проблемах, которые нужно перепроверить. Или же из-за того, что робот не смог загрузить контент страницы. Чтобы определить точнее, смотрим инструмент Проверка мобильных страниц, Мобайл френдли от Гугл, а также идем в метрику (ниже подробнее).</t>
  </si>
  <si>
    <t>Что в поиске и что исключено из поиска</t>
  </si>
  <si>
    <t xml:space="preserve">Раздел, где можно отследить изменения на сайте в режиме реального времени. Смотрим, какие страницы попадают в индекс, какие выпадают и почему. Не должно быть аномальных всплесков по добавленным/исключенным. </t>
  </si>
  <si>
    <t xml:space="preserve">Все, что отдаем в индекс - должно быть в карте. Все, что в индекс не отдаем, должно быть оттуда исключено. Можно проверить с помощью паука, сторонних сервисов типа Labrika (платный), или Серч консоли в Гугл. </t>
  </si>
  <si>
    <t>Нажимаем на этот треугольник рядом со ссылкой и выбираем пункт Сохраненная копия
https://yadi.sk/i/FWtBbpVuWUDbPw
Далее переходим по ссылке, выбираем "текстовая версия", и сравниваем отобразившийся результат с вашим сайтом. 
В сохраненной копии не должно быть пропущенных блоков вашего сайта. Если каких-то блоков нет - значит, они не индексируются. По последним официальным ответам от Ядекс - версия документа в сохраненке не равна ранжируемой версии документа. Они могут и отличаться. Еще один вариант - посмотреть на страницу глазами поискового робота и проверить, все ли контентные блоки показываются нужному юзер-агенту. Например, pr-cy, бертал</t>
  </si>
  <si>
    <t>Необходимо зарегистрировать сайт в сервисе 2gis.ru
https://2gis.ru/ (связан с флампом)</t>
  </si>
  <si>
    <t>Отзывы от знатоков города высокого уровня дают буст к скорости роста молодого сайта</t>
  </si>
  <si>
    <t xml:space="preserve">Добавить также фламп и другие нишевые каталоги. Подробное заполнение даст еще одну строчку на выдаче. Задача максимум - по брендовым запросам занимать - страницы различными сервисами - это соцсети, тематические агрегаторы, каталоги и тд. Простой и быстрый старт: Собрать конкурентов, выгрузить их ссылочный профиль, найти каталоги и справочники, завести там аккаунты. Забить все сервисы яндекса брендовым контентом: дзен, кью, услуги. Проверка: вбиваем берндовые запросы в выдачу и смотрим, из чего она состоит, сколько мест занимают наши профили. Аналогично вбить название домена. Результат должен быть +- одинаковым. Чем больше наших позиций, тем лучше. </t>
  </si>
  <si>
    <t>Это необходимо как с точки зрения ссылочной стратегии, так и с точки зрения работы над брендингом. упоминания - не являются ссылками чаще всего, но работают в плюс, как соц.сигналы. Выступать в сми, комментировать публикации, гостевые материалы и тд. Можно работать с пресс-релизами, можно выступать как эксперт. Пример площадки для старта - пресс-фид.</t>
  </si>
  <si>
    <t xml:space="preserve">Существует много разных онлайн-сервисов по автоматическим аудитам. Рекомендуется пользоваться только в связке с хорошими офлайн-сервисами. </t>
  </si>
  <si>
    <t xml:space="preserve">Необходимо проверить наличие атрибута alt на всех изображениях, которые используются на сайте. Большинство изображений выводятся циклами, поэтому рекомендуется искать закономерности. Очень важно заполнять теги картинок - Alt и Title. Но на фоне фильтра Яндекс Noname категорически нельзя спамить ключевыми словами в пункты меню, хлебные крошки и теги картинок. Многие сайты попали под этот фильтр именно благодаря тегам картинок и долгие годы сидят под фильтром, ведь самая страшная особенность данного фильтра (отсюда и происходит его название) в том, что поддержка Яндекс не отвечает на запрос по этому фильтру и говорит, что с сайтом все хорошо, да только вот ранжирование сайта в Яндекс оставляет желать лучшего. Если использовать плагины автоматической простановки АЛЬТОВ может быть спам альтами - обязательно перепроверить надо. Резюме: Заполненные альты - хорошо. Пустые - плохо. Заполненные со спамом - хуже, чем пустые. </t>
  </si>
  <si>
    <t xml:space="preserve">Проверить сайт на наличие битых ссылок. Полный список мы можем получить при помощи выгрузки пауком. На сайте не должно быть битых ссылок. 
 </t>
  </si>
  <si>
    <t xml:space="preserve">Для большинства коммерческих сайтов в тайтле необходимо указывать город. Это необходимо для повышения релевантности страниц по геозависимым запросам. Нужно проверить конкурентов, как сделано у них. Выгрузить все тайтл с помощью паука. Проверить их на наличие вхождения Топонима. Там, где нет - дописать. </t>
  </si>
  <si>
    <t xml:space="preserve">Редиректы мы оставляем только для сторонних ресурсов. На нашем сайте везде должны быть проставлены корректные ссылки. Нажали - сразу получили нужный документ. Если мы находим ссылки, которые перенаправляют нас куда-то, мы должны их заменить на прямые. </t>
  </si>
  <si>
    <t xml:space="preserve">каноникл говорит о том, что вместо текущего url, нужно индексировать ту страницу, которая указана в теге. То есть в идеале, url, который указан в теге каноникал, должен отдавать код 200 и быть открыт к индексации. Иначе мы расходуем краулинговый бюждет зря, забирая его у важных страниц. </t>
  </si>
  <si>
    <t xml:space="preserve">Нужно определиться, работает наш сайт с ssl или без. И от этого определить корректные url всех страниц. Или http - все. Или https - все. Если ссылка на одну страницу на сайте прописана в разных местах с разными вариантами, а еще и открывается также - это ошибка. Необходимо настроить редирект на верную версию, а на сайте оставить только один вариант ссылок или прописать относительные адреса. </t>
  </si>
  <si>
    <t>Могут возникать из-за ошибок сервера, чрезмерной нагрузки. Если это разовая ошибка - ничего страшного. Но если повторяется регулярно, стоит начинать задавать вопросы прогеру/хостингу.</t>
  </si>
  <si>
    <t>Заблокировано в роботс</t>
  </si>
  <si>
    <t xml:space="preserve">Получаем список страниц, которые для конкретного юзер-агента заблокированы в файле роботс. Проверяем, нет ли там нужных для нас страниц. Если есть - переписываем директивы. Если там не хватает каких-то урлов - дописываем директивы. </t>
  </si>
  <si>
    <t xml:space="preserve">Закрыть страницу от индексации можно как в файле, так и через meta-robots и x-tag roborts. Можно закрыть для разных юзер-агентов по-разному. Проверяем, нет ли в этом списке нужных нам страниц. </t>
  </si>
  <si>
    <t>Как и вебмастер, паук может показать проблему. Тогда добавляем файл или разбираемся, почему уже существующий файл не видит паук и ПС.</t>
  </si>
  <si>
    <t>Дубли страниц мешают индексированию основного контента, могут не давать топ важным страницам, могут попадать в МПК и топить весь сайт. Важно понять, откуда они берутся и выбрать правильный способ избавления от них. Проблему решать 100% надо.</t>
  </si>
  <si>
    <t xml:space="preserve">Получаем списком все страницы, на которых нет Тайтл. И можем отдать на внедрение. </t>
  </si>
  <si>
    <t xml:space="preserve">Получаем списком все страницы, на которых нет Дескрипшн. И можем отдать на внедрение. </t>
  </si>
  <si>
    <t xml:space="preserve">Получаем списком все страницы, на которых нет H1. И можем отдать на внедрение. Момент. Глазами вы можете видеть на странице, что заголовок есть. Но если он будет размечен не так, как нужно для ПС, то считайте, что его нет. Паук это покажет. </t>
  </si>
  <si>
    <t xml:space="preserve">Тайтл на странице должен быть 1 и уникальный. Две страницы с одним тайтлом быть не может. Это указывает или на технический дубль страницы, или на ошибку в заполнении мета-тегов. Можно получить список таких страниц и уже разбираться. </t>
  </si>
  <si>
    <t xml:space="preserve">Дескрипшн на странице должен быть 1 и уникальный. Две страницы с одним тайтлом быть не может. Это указывает или на технический дубль страницы, или на ошибку в заполнении мета-тегов. Можно получить список таких страниц и уже разбираться. </t>
  </si>
  <si>
    <t xml:space="preserve">H1 на странице должен быть 1 и уникальный. Две страницы с одним тайтлом быть не может. Это указывает или на технический дубль страницы, или на ошибку в заполнении мета-тегов. Можно получить список таких страниц и уже разбираться. </t>
  </si>
  <si>
    <t>Не является грубой ошибкой, но рекомендуется к исправлению. Тайтл должен быть более развернутым, содержать коммерческие приставки, топоним. А также главный ключ в тайтл входит как есть, а в H1 часто во множественном числе. Часто эта проблема показывает на не проработанные страницы</t>
  </si>
  <si>
    <t>Потенциальные страницы МПК. Стоит понять, почему на них мало контента и решить, что с ними дальше делать. Закрыть от индексации, удалить или доработать.</t>
  </si>
  <si>
    <t xml:space="preserve">Чаще всего указывают на непроработанные страницы на сайте. Как минимум, нужно просмотреть такие страницы и решить, что с ними делать. Закрыть от индексации или доработать. </t>
  </si>
  <si>
    <t>Пример</t>
  </si>
  <si>
    <t xml:space="preserve">SEO </t>
  </si>
  <si>
    <t>КМ</t>
  </si>
  <si>
    <t>Программист</t>
  </si>
  <si>
    <t>Владелец</t>
  </si>
  <si>
    <t>Для новых проектов. Не менять для уже работающих сайтов!</t>
  </si>
  <si>
    <t>Блок Автор</t>
  </si>
  <si>
    <t xml:space="preserve">ФИО автора, его специализация, ссылка на страницу с биографией и соцсигналами, подтверждающими его экспертность, возможность перейти на страницу со всеми материалами автора. </t>
  </si>
  <si>
    <t>Блок с шерами и инфой о чтении</t>
  </si>
  <si>
    <t>Кол-во лайков, комментов, сколько потребуется времени на чтение текста, возможность поделиться в соцсетях и мессенджерах</t>
  </si>
  <si>
    <t>Системы аналитики</t>
  </si>
  <si>
    <t>Дополнительно</t>
  </si>
  <si>
    <t>Релевантность шаблонов</t>
  </si>
  <si>
    <t xml:space="preserve">Тайтл должен точно отражать смысл страницы. Открыв ее в вакууме и просто прочитал тайтл, мы должны четко представить, что мы на ней увидим. При этом желательно использовать наиболее значимые LSI для данного направления. Можно воспользоваться бесплатным инструментом Мира-текст и собрать тайтл на основе lsi из тайтлов конкруентов
</t>
  </si>
  <si>
    <t>Одно из нововведений конца 2020 года - более строгая политика алгоритма Антиспам Яндекс, которая теперь работает равномерно по всем зонам документа без исключений. Поэтому нам необходимо внимательно изучить среднюю плотность ключей по ТОП 10 и придерживаться средних значений. Следует понимать, что сам по себе переспам помогает документу получить более высокую позицию, но наряду с этим резко увеличивается шанс получить пенальти по данному документу и даже по всему сайту. Проверить документ на переспам можно на сервисе Мегаиндекс АНАЛИЗ ТЕКСТА, вбив вначале анализируемую ключевыю фразу, а затем посадочную страницу под этот ключ в рамках своего сайта. Также можно посмотреть переспам по миратекст, с помощью инструмента Лабрика. Речь идет именно про шаблон, где ошибка повторяется из страницы к странице и правится изменением шаблона.</t>
  </si>
  <si>
    <t>Вверх</t>
  </si>
  <si>
    <t>Начало</t>
  </si>
  <si>
    <t>Можно заполнить прямо здесь, а можно вставить сюда информацию из предыдущего урока</t>
  </si>
  <si>
    <t>Соцсети и каталоги</t>
  </si>
  <si>
    <t>https://i.imgur.com/tVoXRq7.png</t>
  </si>
  <si>
    <t>https://i.imgur.com/V2cZyGJ.png</t>
  </si>
  <si>
    <t xml:space="preserve">https://fedpress.ru/
https://i.imgur.com/H0q8RK4.png
</t>
  </si>
  <si>
    <t>https://i.imgur.com/BKEBV2F.png</t>
  </si>
  <si>
    <t>https://i.imgur.com/dK85d1K.png</t>
  </si>
  <si>
    <t>https://i.imgur.com/0GWlJL4.png</t>
  </si>
  <si>
    <t>https://i.imgur.com/D348YAb.png https://yandex.ru/support/webmaster/search-results/create-favicon.html</t>
  </si>
  <si>
    <t>https://i.imgur.com/Qi2jyPj.png</t>
  </si>
  <si>
    <t>https://i.imgur.com/obGGbG0.png</t>
  </si>
  <si>
    <t>https://i.imgur.com/5Gw3wBP.png</t>
  </si>
  <si>
    <t>https://i.imgur.com/G6ZUFpM.png</t>
  </si>
  <si>
    <t>https://i.imgur.com/oTbDhd4.png</t>
  </si>
  <si>
    <t>https://i.imgur.com/A2lmtMU.png</t>
  </si>
  <si>
    <r>
      <rPr>
        <b/>
        <sz val="14"/>
        <color rgb="FF000000"/>
        <rFont val="Calibri"/>
        <family val="2"/>
        <charset val="204"/>
      </rPr>
      <t>Пример:</t>
    </r>
    <r>
      <rPr>
        <sz val="14"/>
        <color rgb="FF000000"/>
        <rFont val="Calibri"/>
        <family val="2"/>
        <charset val="204"/>
      </rPr>
      <t xml:space="preserve">
https://yadi.sk/i/iyFGPwiv0l94Ew </t>
    </r>
  </si>
  <si>
    <t>https://i.imgur.com/hciaJQf.png</t>
  </si>
  <si>
    <t xml:space="preserve">Должно быть +- одинаковым. Большая разница говорит о проблемах индексирования в одной из ПС. Или банальных ошибках, мешающих индексации. Можно проверить через операторы поиска site:site.ru (работает +- точно на проектах до 2х тысяч страниц), консоли вебмастеров, а также сторонние сервисы. </t>
  </si>
  <si>
    <t>Кроссбраузерность не является фактором ранжирования в поисковых системах. Это просто одинаково-правильные отображение и работоспособность сайта во всех современных браузерах.
Но она прямо влияет на поведенческие факторы - один из главных факторов ранжирования в Поисковых системах.
К примеру, если на сайте в одном браузере всплывающее окно, не вмещаясь в браузер по высоте, при скролле прокручивается, а в другом закрывается, это некроссбраузерное поведение. А если это всплывающее окно быстрого оформления заказа, то вы теряете не только посетителя, но и покупателя.
Поэтому необходимо детально протестировать сайт на кроссбраузерность в основных браузерах (Firefox, Opera, Chrome, Yandex, Safari, Edge).
Но лучше вручную протестировать сайт на всех устройствах.</t>
  </si>
  <si>
    <t xml:space="preserve">Робот не использует ни одного файла Sitemap. Это может негативно сказаться на скорости индексирования новых страниц сайта. Необходимо создать карту сайта sitemap.xml и настроить автоматическую генерацию, чтобы при добавлении каждой новой страницы на сайт он автоматически обновлялся. Sitemap.xml  - важный технический файл, который показывает поисковым системам все страницы сайта.
Если сайт большой – сайтмап следует разделить на несколько частей. Карта должна отдаваться в формате xml. не стот отдавать ее в формате php. Гугл может не принять карту с первого раза. Иногда нужно просто подождать, а иногда проверить на ошибки именно под гугл. </t>
  </si>
  <si>
    <t xml:space="preserve">С помощью сервиса Wayback Machine необходимо проверить историю домена на предмет его использования в прошлом. Если до покупки домена он уже использовался - необходимо убедиться в том, чно на этом домене не было сайтов, связанных с какими-то незаконными действиями, порно и т.д. и т.п.
https://web.archive.org/ Так же может помочь сервис http://whoishistory.ru В общем и целом домен с историей всегда должен вызывать подозрения, если это история не ваша и намного надежнее работать с теми доманами, где нет совершенно никакой истории и я делаю ИСКЛЮЧИТЕЛЬНО так, чтобы не отправить коту под хвотс все работы по оптимизации проекта. Если же у меня есть на руках домен с историей, которая мне неизвестна - я все-равно возьму новорег, а старый домен подклею к нему через многоуровневую прокладку. Также можно посмотреть историю домена через ahrefs.com, Этот сервис может показывать ссылки, если они были, даже если сайт не видит архив. </t>
  </si>
  <si>
    <t>Подключить вебвизор</t>
  </si>
  <si>
    <t xml:space="preserve">Инструмент позволяет отслеживать, как вел себя пользователь на вашем сайте. Куда кликал мышкой, что смотрел, читал. </t>
  </si>
  <si>
    <t>Анализ на базе технической выгрузки</t>
  </si>
  <si>
    <t>Оглавление</t>
  </si>
  <si>
    <t>Наличие ключа в домене</t>
  </si>
  <si>
    <t>https://vk.com/@lseo_blog-plitka-tegov</t>
  </si>
  <si>
    <t>Вы ничего не знаете про плитку тегов</t>
  </si>
  <si>
    <t>Главная мысль - что такое плитка тегов, как она реализуется и для чего используется. Развенчивание мифов о том, что это просто перелинковка. Кто не смотрел - обязательно к прочтению!</t>
  </si>
  <si>
    <t>Необходимо подключить счетчик Google Analytics на сайт. https://analytics.google.com
Инструкция: https://support.google.com/analytics/answer/1008080?hl=ru и https://support.google.com/analytics/answer/9304153?hl=ru</t>
  </si>
  <si>
    <t>Проверка ссылочного профиля</t>
  </si>
  <si>
    <t>Ссылочную стратегию можно будет разработать на основе конкурентов после их анализа</t>
  </si>
  <si>
    <t xml:space="preserve">Здесь важно посмотреть, сколько и каких ссылок есть у сайта. Важно понять количество доменов и страниц, посмотреть анкор-лист. Важно, чтобы там не было ссылок из запрещенных тематик - казино, порно. Проверить ссылочное можно через сервис Мегаиндекс, в Гугл Серч Консоль, через бесплатный инструмент-чекер в ahrefs.com с vpn </t>
  </si>
  <si>
    <t>https://ahrefs.com/backlink-checker</t>
  </si>
  <si>
    <t xml:space="preserve">В этом инструменте собрано огромное количество подсказок и индикаторов, которые указывают на техническое состояние проекта, а также помогают улучшить его. Главное - знать, куда смотреть и как интерпретировать данные. Начиная с этого инструмента можно сэкономить достаточно времени. Если проблемы здесь есть, тогда уже стоит подключать дополнительные сервисы и разбираться в проблеме глубже. Чаще всего - хватает только подсказок Вебмастера. Также быстрый аудит можно провести здесь, не используя спайдеры, хотя они и дают более глубокую и точную картину. </t>
  </si>
  <si>
    <r>
      <t xml:space="preserve">Необходима регистрация сайта в сервисе Google Мой бизнес. После регистрации, организация публикуется в Google Maps и других сервисах Google. Если домен не ru, то в Search Console нужно руками проставить регион Россия. </t>
    </r>
    <r>
      <rPr>
        <b/>
        <sz val="14"/>
        <color theme="1"/>
        <rFont val="Calibri"/>
        <family val="2"/>
        <charset val="204"/>
      </rPr>
      <t xml:space="preserve">ВАЖНО: с сентября 2022 года приостановлена публикация новых организаций на картах Гугл, а также добавление отзывов. </t>
    </r>
    <r>
      <rPr>
        <sz val="14"/>
        <color theme="1"/>
        <rFont val="Calibri"/>
        <family val="2"/>
        <charset val="204"/>
      </rPr>
      <t xml:space="preserve">
https://www.google.com/intl/ru_ru/business/</t>
    </r>
  </si>
  <si>
    <t>Редирект 301</t>
  </si>
  <si>
    <t>Отсутствует title,  пустой или дублирующийся</t>
  </si>
  <si>
    <t xml:space="preserve">Получаем списком все страницы, и смотрим тайтлы. Они должны быть на всех страницах. Не должно быть дублей. </t>
  </si>
  <si>
    <t>Отсутствует дескрипшн, пустой или дублирующийся</t>
  </si>
  <si>
    <t>Получаем списком все страницы, и выписываем те, на которых нет Дескрипшн или он дублируется. Исправляем.</t>
  </si>
  <si>
    <t>Отсутствует h1, пустой или дублирующийся</t>
  </si>
  <si>
    <t xml:space="preserve">Получаем списком все страницы, выписываем те, на которых нет H1 или они дублируются. И можем отдать на внедрение. Момент. Глазами вы можете видеть на странице, что заголовок есть. Но если он будет размечен не так, как нужно для ПС, то считайте, что его нет. Паук это покажет. </t>
  </si>
  <si>
    <t>Необходимо собрать по ключевому запросу с сайтов-конкурентов все таблицы с ценами, и скомпоновать общую максимально широкую таблицу, удалив дубликаты услуг. Сформированную таблицу необходимо внедрить на сайт.</t>
  </si>
  <si>
    <t>Проведен анализ конкурентов</t>
  </si>
  <si>
    <t>В выдаче по вашему региону и вашим запросам есть сайты вашего типа, а типы страниц соответствуют вашим страницам</t>
  </si>
  <si>
    <t>Если мы по запросу продвигаем лендинг, в выдаче по этому запросу должны быть другие лендинги. Если мы по запросу продвигаем инфо-статью, то в выдаче должны быть информационные страницы. Если по нашему запросу у нас страница категории с листингом товаров, то и в выдаче должны быть страницы листингов, а не карточки товаров или услуги. Это важно. Если мы видим серьезное расхождение, значит или конкуренты подобраны не верно, или не верно выбрана стратегия продвижения.</t>
  </si>
  <si>
    <t xml:space="preserve">Это экспресс чек-лист, который позволит быстро протестировать свой сайт на наличие ошибок. Для детального анализа стоит воспользоваться полной версией чек-листа, а также результатами спайдерной выгрузки. </t>
  </si>
  <si>
    <t xml:space="preserve">Сайту присвоен реальный регион. В идеале - сделана офлайн-организация в Яндекс.Бизнесе, хуже, но допустимо - онлайн-организация. А также присвоен регион через Вебмастер. </t>
  </si>
  <si>
    <r>
      <t xml:space="preserve">Аналог Яндекс.Бизнеса. Профиль позволяет показываться на Гугл.Картах. Если домен не ru, то в Search Console нужно руками проставить регион Россия. </t>
    </r>
    <r>
      <rPr>
        <b/>
        <sz val="14"/>
        <color theme="1"/>
        <rFont val="Calibri"/>
        <family val="2"/>
        <charset val="204"/>
      </rPr>
      <t xml:space="preserve">ВАЖНО: с сентября 2022 года приостановлена публикация новых организаций на картах Гугл, а также добавление отзывов. </t>
    </r>
    <r>
      <rPr>
        <sz val="14"/>
        <color theme="1"/>
        <rFont val="Calibri"/>
        <family val="2"/>
        <charset val="204"/>
      </rPr>
      <t xml:space="preserve">
https://www.google.com/intl/ru_ru/business/</t>
    </r>
  </si>
  <si>
    <t xml:space="preserve">Сайт корректно индексируется. Открыт к индексу через файл робот, мусорные страницы закрыты от индекса. На сайте нет запрещающих мета-тегов роботс. </t>
  </si>
  <si>
    <t>На страницах отсутствуют запрещающие мета-теги роботс</t>
  </si>
  <si>
    <t>Тег может запрещать индексацию страницы для всех юзер-агентов, а может только для отдельных. Если такие конструкции есть, нужно убедиться, что они проставлены осознанно, а не по ошибке: &lt;meta name="robots" content="noindex" /&gt; или &lt;meta name="yandex" content="noindex, nofollow" /&gt;</t>
  </si>
  <si>
    <t>Сайт не представляет угрозу пользователям, не нарушает политику безопасности</t>
  </si>
  <si>
    <t>У сайта отсутствуют технические дубли</t>
  </si>
  <si>
    <t>Сайт может открываться по двум адресам с www и без www. Это плохо. Необходимо проверить склейку зеркал www, настроить редиректы и оставить только один вариант в индексе. Как определить главное зеркало - http://www.markintalk.ru/seo-chek-list-optimizacii-vashego-sajta.html. Коды склейки зеркал можно найти тут - http://www.markintalk.ru/kak-raskrutit-internet-magazin-poshagovoe-rukovodstvo.html</t>
  </si>
  <si>
    <t xml:space="preserve">Все ли страницы, которые важны для пользователей и для получения трафика, находятся в индексе. </t>
  </si>
  <si>
    <t>Одинаково ли хорошо ваш сайт выглядит на разных устройствах, размерах экрана, операционных системах и браузерах.</t>
  </si>
  <si>
    <t>Смотрим, что видим на сайте мы-пользователи, и что видит робот-поисковик</t>
  </si>
  <si>
    <t xml:space="preserve">Наличие спамных текстов может не давать топа как отдельной странице, так и всему домену. Можно проверять разными сервисами, например, Тургенев. Рекомендуемый общий риск 5 баллов и меньше. </t>
  </si>
  <si>
    <t>Раскрыт запросный индекс</t>
  </si>
  <si>
    <t xml:space="preserve">На сайте есть такие же разделы, подразделы, товары, статьи, как у большинства конкурентов из топа. </t>
  </si>
  <si>
    <t xml:space="preserve">Это значит, что на сайте не просто должны встречаться такие же слова, как у конкурентов, но и иметься качественно проработанные страницы, а сайт по ним иметь какую-либо видимость. Понять, какие страницы на сайте нужны поможет гибридная структура семантики, собранная по конкурентам.  </t>
  </si>
  <si>
    <t>Представлен конкурентный ассортимент</t>
  </si>
  <si>
    <t>Товарная матрица и цены должны соответствовать конкурентам</t>
  </si>
  <si>
    <t xml:space="preserve">Если у всех конкурентов по 100 товаров, а у вас всего 10, выйти в топ будет крайне сложно. Это же касается количества продаваемых брендов, количества оказываемых услуг или количества представленных статей. Смотрим конкурентов, анализируем, выводим средние значения, стремимся к ним. Также следим за ценовой политикой. С очень высокими ценами будет трудно закрепиться в топе. </t>
  </si>
  <si>
    <t>Соседние страницы в рамках сайта должны иметь отличающиеся "облака", иначе страницы будут выпадать из индекса с пометкой - недостаточно качественная. Проверяем через облака релевантности. Специальный сервис для этого есть в рамках закрытого сообщества. Бесплатный аналог (он имеет ряд проблем) - https://miratext.ru/seo_analiz_text</t>
  </si>
  <si>
    <t>Технический анализ сайта на базе сервисов.</t>
  </si>
  <si>
    <t xml:space="preserve">Сервис для проведения технического анализа сайта.
Позволяет выявить дубликаты страниц, дубликаты тайтлов, описаний и много других важных параметров. Инструментов много. Можно выделить https://labrika.ru/ или 
https://www.seowizard.ru/projects/ Мощный лайфхак, чтобы сильно сэкономить денег на проведении такого аудита в sape, нужно создать в Визард сейп проект для продвижения и тут же поставить на паузу и в таком случае - проведение технического аудита для этого сайта станет намного дешевле! В Лабрике можно покупать самый дешевый тариф, если кол-во страниц на вашем проекте пролезает в эти лимиты. Стартовый пакет - 190 р. </t>
  </si>
  <si>
    <t>Проверить историю индексации домена</t>
  </si>
  <si>
    <t>Аномальные всплески индексации должны насторожить</t>
  </si>
  <si>
    <t xml:space="preserve">Подав на анализ сайт в этот сервис https://xtool.ru/ после сбора данных можно изучить историю индексации минимум за 2 года. Если видим аномальный рост страниц в индексе, а потом резкое падение, это может говорить об испорченной карме домена. </t>
  </si>
  <si>
    <t>Допустимо
https://i.imgur.com/fgLpUVv.png
Нормально
https://i.imgur.com/WoqSvNm.png
Запуск новорега после 20го года
https://i.imgur.com/4ru9ZdL.png
Должно насторожить
https://i.imgur.com/DMw8GjP.png</t>
  </si>
  <si>
    <t>Проверка каннибализации</t>
  </si>
  <si>
    <t>Один кластер - одна страница. Не должно быть две и более страниц об одном и том же</t>
  </si>
  <si>
    <t>Для сайта важна кластеризация. Одна группа запросов должна продвигаться на одной странице. Если запросы из одной группы продвигаются на двух и более страницах, появляется каннибализация. Страницы в выдаче могут мигать, сначала топ у одной, потом у другой, или полностью вылететь из топа и болтаться на 3й странице выдачи. Чтобы проверить проблему, нужно получить все заголовки h1 страниц, и выполнить по ним кластеризацию. Если несколько заголовков объединились в одну группу, внимательно проверить эти страницы, возможно, там и есть каннибализация.</t>
  </si>
  <si>
    <t>Бесплатный сервис для машинной кластеризации https://be1.ru/grupirovka-zaprosov/ Также можно использовать Арсенкин, Мегаиндекс, Кейсо и другие инструменты.</t>
  </si>
  <si>
    <t>На сайте отсутствуют различные фильтры и санкции</t>
  </si>
  <si>
    <t>О серьезных нарушениях можно увидеть уведомление в Вебмастере. Но большая часть выявляется косвенно</t>
  </si>
  <si>
    <t xml:space="preserve">Можно для этого использовать любые инструменты и сервисы. Проверять стоит на фильтры Переспам, Переоптимизация, Noname фильтр, хостовые фильтры, АГС, Малополезный и малоценный контент, Баден, Минусинск, за накрутку ПФ, Аффилат и тд. Справка яндекса и поиск помогут.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</si>
</sst>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_ ;\-#,##0\ "/>
    <numFmt numFmtId="166" formatCode="_-* #,##0_-;\-* #,##0_-;_-* &quot;-&quot;??_-;_-@_-"/>
  </numFmts>
  <fonts count="55">
    <font>
      <sz val="11"/>
      <color theme="1"/>
      <name val="Calibri"/>
      <family val="2"/>
      <charset val="204"/>
      <scheme val="minor"/>
    </font>
    <font>
      <b/>
      <sz val="11"/>
      <color theme="1"/>
      <name val="Calibri"/>
      <family val="2"/>
      <charset val="204"/>
      <scheme val="minor"/>
    </font>
    <font>
      <sz val="14"/>
      <name val="Calibri"/>
      <family val="2"/>
      <charset val="204"/>
    </font>
    <font>
      <b/>
      <sz val="14"/>
      <name val="Calibri"/>
      <family val="2"/>
      <charset val="204"/>
    </font>
    <font>
      <b/>
      <sz val="22"/>
      <name val="Calibri"/>
      <family val="2"/>
      <charset val="204"/>
    </font>
    <font>
      <u/>
      <sz val="11"/>
      <color rgb="FF0000FF"/>
      <name val="Calibri"/>
      <family val="2"/>
      <charset val="204"/>
    </font>
    <font>
      <sz val="14"/>
      <color theme="1"/>
      <name val="Calibri"/>
      <family val="2"/>
      <charset val="204"/>
      <scheme val="minor"/>
    </font>
    <font>
      <b/>
      <sz val="20"/>
      <color theme="0"/>
      <name val="Calibri"/>
      <family val="2"/>
      <charset val="204"/>
      <scheme val="minor"/>
    </font>
    <font>
      <sz val="14"/>
      <color rgb="FF000000"/>
      <name val="Calibri"/>
      <family val="2"/>
      <charset val="204"/>
    </font>
    <font>
      <b/>
      <sz val="14"/>
      <color rgb="FF000000"/>
      <name val="Calibri"/>
      <family val="2"/>
      <charset val="204"/>
    </font>
    <font>
      <sz val="14"/>
      <color rgb="FF222222"/>
      <name val="Calibri"/>
      <family val="2"/>
      <charset val="204"/>
    </font>
    <font>
      <sz val="11"/>
      <name val="Calibri"/>
      <family val="2"/>
      <charset val="204"/>
    </font>
    <font>
      <b/>
      <sz val="14"/>
      <name val="Calibri"/>
      <family val="2"/>
    </font>
    <font>
      <sz val="11"/>
      <color rgb="FF000000"/>
      <name val="Calibri"/>
      <family val="2"/>
      <charset val="204"/>
    </font>
    <font>
      <b/>
      <sz val="18"/>
      <color rgb="FF1F497D"/>
      <name val="Cambria"/>
      <family val="2"/>
      <charset val="204"/>
    </font>
    <font>
      <b/>
      <sz val="14"/>
      <color rgb="FF000000"/>
      <name val="Calibri"/>
      <family val="2"/>
    </font>
    <font>
      <sz val="14"/>
      <color theme="1"/>
      <name val="Calibri"/>
      <family val="2"/>
      <charset val="204"/>
    </font>
    <font>
      <u/>
      <sz val="14"/>
      <color rgb="FF0000FF"/>
      <name val="Calibri"/>
      <family val="2"/>
      <charset val="204"/>
    </font>
    <font>
      <b/>
      <sz val="14"/>
      <color rgb="FFFF0000"/>
      <name val="Calibri"/>
      <family val="2"/>
      <charset val="204"/>
    </font>
    <font>
      <b/>
      <sz val="14"/>
      <color theme="1"/>
      <name val="Calibri"/>
      <family val="2"/>
      <charset val="204"/>
    </font>
    <font>
      <b/>
      <sz val="14"/>
      <name val="Calibri"/>
      <family val="2"/>
      <charset val="204"/>
      <scheme val="minor"/>
    </font>
    <font>
      <sz val="14"/>
      <name val="Calibri"/>
      <family val="2"/>
      <charset val="204"/>
      <scheme val="minor"/>
    </font>
    <font>
      <sz val="14"/>
      <color rgb="FF000000"/>
      <name val="Calibri"/>
      <family val="2"/>
      <charset val="204"/>
      <scheme val="minor"/>
    </font>
    <font>
      <b/>
      <sz val="14"/>
      <color rgb="FF000000"/>
      <name val="Calibri"/>
      <family val="2"/>
      <charset val="204"/>
      <scheme val="minor"/>
    </font>
    <font>
      <b/>
      <sz val="14"/>
      <color theme="1"/>
      <name val="Calibri"/>
      <family val="2"/>
      <charset val="204"/>
      <scheme val="minor"/>
    </font>
    <font>
      <b/>
      <sz val="20"/>
      <name val="Calibri"/>
      <family val="2"/>
      <charset val="204"/>
    </font>
    <font>
      <b/>
      <sz val="20"/>
      <name val="Calibri"/>
      <family val="2"/>
    </font>
    <font>
      <b/>
      <sz val="11"/>
      <color rgb="FF000000"/>
      <name val="Calibri"/>
      <family val="2"/>
    </font>
    <font>
      <b/>
      <sz val="28"/>
      <color theme="0"/>
      <name val="Calibri"/>
      <family val="2"/>
      <charset val="204"/>
      <scheme val="minor"/>
    </font>
    <font>
      <b/>
      <sz val="20"/>
      <color theme="0"/>
      <name val="Calibri (Основной текст)"/>
      <charset val="204"/>
    </font>
    <font>
      <b/>
      <sz val="14"/>
      <color theme="1"/>
      <name val="Calibri"/>
      <family val="2"/>
      <scheme val="minor"/>
    </font>
    <font>
      <sz val="14"/>
      <name val="Calibri (Основной текст)"/>
      <charset val="204"/>
    </font>
    <font>
      <b/>
      <sz val="14"/>
      <color rgb="FFFF0000"/>
      <name val="Calibri"/>
      <family val="2"/>
      <scheme val="minor"/>
    </font>
    <font>
      <b/>
      <sz val="14"/>
      <color rgb="FFFF0000"/>
      <name val="Calibri"/>
      <family val="2"/>
      <charset val="204"/>
      <scheme val="minor"/>
    </font>
    <font>
      <sz val="14"/>
      <color rgb="FF000000"/>
      <name val="Calibri"/>
      <family val="2"/>
    </font>
    <font>
      <b/>
      <sz val="20"/>
      <color theme="1"/>
      <name val="Calibri"/>
      <family val="2"/>
      <scheme val="minor"/>
    </font>
    <font>
      <b/>
      <sz val="14"/>
      <color theme="1"/>
      <name val="Noto Sans Armenian"/>
      <family val="2"/>
    </font>
    <font>
      <b/>
      <sz val="15"/>
      <color rgb="FF000000"/>
      <name val="Calibri"/>
      <family val="2"/>
    </font>
    <font>
      <sz val="14"/>
      <color rgb="FFFF0000"/>
      <name val="Calibri"/>
      <family val="2"/>
      <charset val="204"/>
    </font>
    <font>
      <b/>
      <sz val="22"/>
      <color rgb="FFFF0000"/>
      <name val="Calibri"/>
      <family val="2"/>
      <charset val="204"/>
    </font>
    <font>
      <b/>
      <sz val="14"/>
      <name val="Calibri (Основной текст)"/>
      <charset val="204"/>
    </font>
    <font>
      <b/>
      <u/>
      <sz val="11"/>
      <name val="Calibri (Основной текст)"/>
      <charset val="204"/>
    </font>
    <font>
      <u/>
      <sz val="11"/>
      <name val="Calibri (Основной текст)"/>
      <charset val="204"/>
    </font>
    <font>
      <b/>
      <u/>
      <sz val="11"/>
      <name val="Calibri"/>
      <family val="2"/>
    </font>
    <font>
      <b/>
      <u/>
      <sz val="14"/>
      <name val="Calibri"/>
      <family val="2"/>
    </font>
    <font>
      <u/>
      <sz val="14"/>
      <name val="Calibri"/>
      <family val="2"/>
    </font>
    <font>
      <u/>
      <sz val="11"/>
      <name val="Calibri"/>
      <family val="2"/>
    </font>
    <font>
      <b/>
      <sz val="22"/>
      <name val="Calibri (Основной текст)"/>
      <charset val="204"/>
    </font>
    <font>
      <sz val="11"/>
      <name val="Calibri (Основной текст)"/>
      <charset val="204"/>
    </font>
    <font>
      <u/>
      <sz val="11"/>
      <name val="Calibri"/>
      <family val="2"/>
      <charset val="204"/>
    </font>
    <font>
      <b/>
      <sz val="14"/>
      <color rgb="FF000000"/>
      <name val="Roboto"/>
      <charset val="204"/>
    </font>
    <font>
      <sz val="11"/>
      <color theme="1"/>
      <name val="Calibri"/>
      <family val="2"/>
      <charset val="204"/>
      <scheme val="minor"/>
    </font>
    <font>
      <b/>
      <sz val="14"/>
      <color theme="1"/>
      <name val="Arial"/>
      <family val="2"/>
      <charset val="204"/>
    </font>
    <font>
      <sz val="11"/>
      <color theme="0" tint="-0.249977111117893"/>
      <name val="Calibri"/>
      <family val="2"/>
      <charset val="204"/>
      <scheme val="minor"/>
    </font>
    <font>
      <b/>
      <u/>
      <sz val="14"/>
      <color rgb="FF0000FF"/>
      <name val="Calibri"/>
      <family val="2"/>
      <charset val="204"/>
    </font>
  </fonts>
  <fills count="24">
    <fill>
      <patternFill patternType="none"/>
    </fill>
    <fill>
      <patternFill patternType="gray125"/>
    </fill>
    <fill>
      <patternFill patternType="solid">
        <fgColor rgb="FFF79646"/>
        <bgColor rgb="FFFF8080"/>
      </patternFill>
    </fill>
    <fill>
      <patternFill patternType="solid">
        <fgColor rgb="FFFFFFFF"/>
        <bgColor rgb="FFEEECE1"/>
      </patternFill>
    </fill>
    <fill>
      <patternFill patternType="solid">
        <fgColor rgb="FF00B0F0"/>
        <bgColor indexed="64"/>
      </patternFill>
    </fill>
    <fill>
      <patternFill patternType="solid">
        <fgColor theme="3" tint="0.59999389629810485"/>
        <bgColor indexed="64"/>
      </patternFill>
    </fill>
    <fill>
      <patternFill patternType="solid">
        <fgColor rgb="FF0070C0"/>
        <bgColor indexed="64"/>
      </patternFill>
    </fill>
    <fill>
      <patternFill patternType="solid">
        <fgColor theme="0"/>
        <bgColor rgb="FFEEECE1"/>
      </patternFill>
    </fill>
    <fill>
      <patternFill patternType="solid">
        <fgColor theme="0"/>
        <bgColor indexed="64"/>
      </patternFill>
    </fill>
    <fill>
      <patternFill patternType="solid">
        <fgColor theme="9"/>
        <bgColor rgb="FFFF8080"/>
      </patternFill>
    </fill>
    <fill>
      <patternFill patternType="solid">
        <fgColor rgb="FF95B3D7"/>
        <bgColor rgb="FF9999FF"/>
      </patternFill>
    </fill>
    <fill>
      <patternFill patternType="solid">
        <fgColor rgb="FFE6E0EC"/>
        <bgColor rgb="FFEEECE1"/>
      </patternFill>
    </fill>
    <fill>
      <patternFill patternType="solid">
        <fgColor rgb="FFFF0000"/>
        <bgColor rgb="FF993300"/>
      </patternFill>
    </fill>
    <fill>
      <patternFill patternType="solid">
        <fgColor rgb="FFFF0000"/>
        <bgColor indexed="64"/>
      </patternFill>
    </fill>
    <fill>
      <patternFill patternType="solid">
        <fgColor rgb="FFFFC000"/>
        <bgColor indexed="64"/>
      </patternFill>
    </fill>
    <fill>
      <patternFill patternType="solid">
        <fgColor theme="0" tint="-0.249977111117893"/>
        <bgColor indexed="64"/>
      </patternFill>
    </fill>
    <fill>
      <patternFill patternType="solid">
        <fgColor rgb="FFBDBDBD"/>
        <bgColor indexed="64"/>
      </patternFill>
    </fill>
    <fill>
      <patternFill patternType="solid">
        <fgColor rgb="FFD3B5E9"/>
        <bgColor indexed="64"/>
      </patternFill>
    </fill>
    <fill>
      <patternFill patternType="solid">
        <fgColor rgb="FFFFFF66"/>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14999847407452621"/>
        <bgColor indexed="64"/>
      </patternFill>
    </fill>
  </fills>
  <borders count="2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right/>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style="thin">
        <color auto="1"/>
      </bottom>
      <diagonal/>
    </border>
    <border>
      <left style="thin">
        <color auto="1"/>
      </left>
      <right style="thin">
        <color auto="1"/>
      </right>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5">
    <xf numFmtId="0" fontId="0" fillId="0" borderId="0"/>
    <xf numFmtId="0" fontId="5" fillId="0" borderId="0" applyBorder="0" applyProtection="0"/>
    <xf numFmtId="0" fontId="13" fillId="11" borderId="0" applyBorder="0" applyProtection="0"/>
    <xf numFmtId="0" fontId="14" fillId="0" borderId="0" applyBorder="0" applyProtection="0"/>
    <xf numFmtId="164" fontId="51" fillId="0" borderId="0" applyFont="0" applyFill="0" applyBorder="0" applyAlignment="0" applyProtection="0"/>
  </cellStyleXfs>
  <cellXfs count="201">
    <xf numFmtId="0" fontId="0" fillId="0" borderId="0" xfId="0"/>
    <xf numFmtId="0" fontId="2" fillId="0" borderId="2" xfId="0" applyFont="1" applyBorder="1" applyAlignment="1">
      <alignment horizontal="left" vertical="top" wrapText="1"/>
    </xf>
    <xf numFmtId="0" fontId="2"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0" borderId="2" xfId="0" applyFont="1" applyBorder="1" applyAlignment="1">
      <alignment horizontal="left" vertical="top" wrapText="1"/>
    </xf>
    <xf numFmtId="0" fontId="3" fillId="12" borderId="2" xfId="0" applyFont="1" applyFill="1" applyBorder="1" applyAlignment="1">
      <alignment horizontal="left" vertical="top" wrapText="1"/>
    </xf>
    <xf numFmtId="0" fontId="0" fillId="0" borderId="2" xfId="0" applyBorder="1" applyAlignment="1">
      <alignment horizontal="left" vertical="top"/>
    </xf>
    <xf numFmtId="0" fontId="12" fillId="10" borderId="2" xfId="0" applyFont="1" applyFill="1" applyBorder="1" applyAlignment="1">
      <alignment horizontal="left" vertical="top" wrapText="1"/>
    </xf>
    <xf numFmtId="0" fontId="12" fillId="0" borderId="2" xfId="0" applyFont="1" applyBorder="1" applyAlignment="1">
      <alignment horizontal="left" vertical="top" wrapText="1"/>
    </xf>
    <xf numFmtId="0" fontId="0" fillId="0" borderId="0" xfId="0" applyAlignment="1">
      <alignment horizontal="center" vertical="center"/>
    </xf>
    <xf numFmtId="0" fontId="16" fillId="0" borderId="2" xfId="0" applyFont="1" applyBorder="1" applyAlignment="1">
      <alignment horizontal="left" vertical="top"/>
    </xf>
    <xf numFmtId="0" fontId="6" fillId="0" borderId="2" xfId="0" applyFont="1" applyBorder="1" applyAlignment="1">
      <alignment horizontal="left" vertical="top" wrapText="1"/>
    </xf>
    <xf numFmtId="0" fontId="16" fillId="0" borderId="2" xfId="0" applyFont="1" applyBorder="1" applyAlignment="1">
      <alignment horizontal="left" vertical="top" wrapText="1"/>
    </xf>
    <xf numFmtId="0" fontId="3" fillId="13" borderId="2" xfId="0" applyFont="1" applyFill="1" applyBorder="1" applyAlignment="1">
      <alignment horizontal="left" vertical="top" wrapText="1"/>
    </xf>
    <xf numFmtId="0" fontId="10" fillId="0" borderId="2" xfId="0" applyFont="1" applyBorder="1" applyAlignment="1">
      <alignment horizontal="left" vertical="top" wrapText="1"/>
    </xf>
    <xf numFmtId="0" fontId="19" fillId="0" borderId="2" xfId="0" applyFont="1" applyBorder="1" applyAlignment="1">
      <alignment horizontal="left" vertical="top"/>
    </xf>
    <xf numFmtId="0" fontId="4" fillId="9" borderId="2" xfId="0" applyFont="1" applyFill="1" applyBorder="1" applyAlignment="1">
      <alignment horizontal="center" vertical="center" wrapText="1"/>
    </xf>
    <xf numFmtId="0" fontId="2" fillId="0" borderId="2" xfId="1" applyFont="1" applyBorder="1" applyAlignment="1" applyProtection="1">
      <alignment horizontal="left" vertical="top" wrapText="1"/>
    </xf>
    <xf numFmtId="0" fontId="3" fillId="10" borderId="2" xfId="0" applyFont="1" applyFill="1" applyBorder="1" applyAlignment="1">
      <alignment horizontal="left" vertical="top" wrapText="1"/>
    </xf>
    <xf numFmtId="0" fontId="21" fillId="3" borderId="2" xfId="0" applyFont="1" applyFill="1" applyBorder="1" applyAlignment="1">
      <alignment horizontal="left" vertical="top" wrapText="1"/>
    </xf>
    <xf numFmtId="0" fontId="20" fillId="0" borderId="2" xfId="0" applyFont="1" applyBorder="1" applyAlignment="1">
      <alignment horizontal="left" vertical="top" wrapText="1"/>
    </xf>
    <xf numFmtId="0" fontId="21" fillId="0" borderId="2" xfId="0" applyFont="1" applyBorder="1" applyAlignment="1">
      <alignment horizontal="left" vertical="top" wrapText="1"/>
    </xf>
    <xf numFmtId="0" fontId="20" fillId="3" borderId="2" xfId="0" applyFont="1" applyFill="1" applyBorder="1" applyAlignment="1">
      <alignment horizontal="left" vertical="top" wrapText="1"/>
    </xf>
    <xf numFmtId="0" fontId="22" fillId="0" borderId="2" xfId="0" applyFont="1" applyBorder="1" applyAlignment="1">
      <alignment horizontal="left" vertical="top" wrapText="1"/>
    </xf>
    <xf numFmtId="0" fontId="2" fillId="3" borderId="2" xfId="1" applyFont="1" applyFill="1" applyBorder="1" applyAlignment="1" applyProtection="1">
      <alignment horizontal="left" vertical="top" wrapText="1"/>
    </xf>
    <xf numFmtId="0" fontId="2" fillId="10" borderId="2" xfId="0" applyFont="1" applyFill="1" applyBorder="1" applyAlignment="1">
      <alignment horizontal="left" vertical="top" wrapText="1"/>
    </xf>
    <xf numFmtId="0" fontId="16" fillId="8" borderId="2" xfId="0" applyFont="1" applyFill="1" applyBorder="1" applyAlignment="1">
      <alignment horizontal="left" vertical="top"/>
    </xf>
    <xf numFmtId="0" fontId="2" fillId="5" borderId="2" xfId="0" applyFont="1" applyFill="1" applyBorder="1" applyAlignment="1">
      <alignment horizontal="left" vertical="top" wrapText="1"/>
    </xf>
    <xf numFmtId="0" fontId="17" fillId="0" borderId="2" xfId="1" applyFont="1" applyBorder="1" applyAlignment="1">
      <alignment horizontal="left" vertical="top"/>
    </xf>
    <xf numFmtId="0" fontId="3" fillId="2" borderId="8" xfId="0" applyFont="1" applyFill="1" applyBorder="1" applyAlignment="1">
      <alignment horizontal="left" vertical="top" wrapText="1"/>
    </xf>
    <xf numFmtId="0" fontId="20" fillId="2" borderId="9" xfId="0" applyFont="1" applyFill="1" applyBorder="1" applyAlignment="1">
      <alignment horizontal="left" vertical="center" wrapText="1"/>
    </xf>
    <xf numFmtId="0" fontId="3" fillId="2" borderId="9" xfId="0" applyFont="1" applyFill="1" applyBorder="1" applyAlignment="1">
      <alignment horizontal="left" vertical="top" wrapText="1"/>
    </xf>
    <xf numFmtId="0" fontId="12" fillId="2" borderId="10" xfId="0" applyFont="1" applyFill="1" applyBorder="1" applyAlignment="1">
      <alignment horizontal="left" vertical="center" wrapText="1"/>
    </xf>
    <xf numFmtId="0" fontId="3" fillId="2" borderId="11" xfId="0" applyFont="1" applyFill="1" applyBorder="1" applyAlignment="1">
      <alignment horizontal="center" vertical="center" wrapText="1"/>
    </xf>
    <xf numFmtId="0" fontId="3" fillId="2" borderId="4" xfId="0" applyFont="1" applyFill="1" applyBorder="1" applyAlignment="1">
      <alignment horizontal="left" vertical="top" wrapText="1"/>
    </xf>
    <xf numFmtId="0" fontId="3" fillId="2" borderId="11" xfId="0" applyFont="1" applyFill="1" applyBorder="1" applyAlignment="1">
      <alignment horizontal="left" vertical="top" wrapText="1"/>
    </xf>
    <xf numFmtId="0" fontId="20" fillId="14" borderId="2" xfId="0" applyFont="1" applyFill="1" applyBorder="1" applyAlignment="1">
      <alignment horizontal="left" vertical="center" wrapText="1"/>
    </xf>
    <xf numFmtId="0" fontId="9" fillId="14" borderId="2" xfId="0" applyFont="1" applyFill="1" applyBorder="1" applyAlignment="1">
      <alignment vertical="center"/>
    </xf>
    <xf numFmtId="0" fontId="4" fillId="9" borderId="3" xfId="0" applyFont="1" applyFill="1" applyBorder="1" applyAlignment="1">
      <alignment horizontal="center" vertical="center" wrapText="1"/>
    </xf>
    <xf numFmtId="0" fontId="27" fillId="0" borderId="0" xfId="0" applyFont="1" applyAlignment="1">
      <alignment vertical="center"/>
    </xf>
    <xf numFmtId="0" fontId="24" fillId="0" borderId="2" xfId="0" applyFont="1" applyBorder="1" applyAlignment="1">
      <alignment horizontal="left" vertical="top" wrapText="1"/>
    </xf>
    <xf numFmtId="0" fontId="6" fillId="0" borderId="2" xfId="0" applyFont="1" applyBorder="1" applyAlignment="1">
      <alignment wrapText="1"/>
    </xf>
    <xf numFmtId="0" fontId="19" fillId="0" borderId="2" xfId="0" applyFont="1" applyBorder="1" applyAlignment="1">
      <alignment horizontal="left" vertical="top" wrapText="1"/>
    </xf>
    <xf numFmtId="0" fontId="32" fillId="0" borderId="2" xfId="0" applyFont="1" applyBorder="1" applyAlignment="1">
      <alignment horizontal="left" vertical="top" wrapText="1"/>
    </xf>
    <xf numFmtId="49" fontId="15" fillId="0" borderId="0" xfId="0" applyNumberFormat="1" applyFont="1" applyAlignment="1">
      <alignment wrapText="1"/>
    </xf>
    <xf numFmtId="0" fontId="35" fillId="15" borderId="2" xfId="0" applyFont="1" applyFill="1" applyBorder="1"/>
    <xf numFmtId="0" fontId="0" fillId="0" borderId="0" xfId="0" applyAlignment="1">
      <alignment wrapText="1"/>
    </xf>
    <xf numFmtId="0" fontId="2" fillId="3" borderId="14" xfId="0" applyFont="1" applyFill="1" applyBorder="1" applyAlignment="1">
      <alignment horizontal="left" vertical="top" wrapText="1"/>
    </xf>
    <xf numFmtId="0" fontId="4" fillId="9" borderId="14" xfId="0" applyFont="1" applyFill="1" applyBorder="1" applyAlignment="1">
      <alignment horizontal="center" vertical="center" wrapText="1"/>
    </xf>
    <xf numFmtId="0" fontId="39" fillId="9" borderId="2" xfId="0" applyFont="1" applyFill="1" applyBorder="1" applyAlignment="1">
      <alignment horizontal="center" vertical="center" wrapText="1"/>
    </xf>
    <xf numFmtId="0" fontId="38" fillId="3" borderId="2" xfId="0" applyFont="1" applyFill="1" applyBorder="1" applyAlignment="1">
      <alignment horizontal="left" vertical="top" wrapText="1"/>
    </xf>
    <xf numFmtId="0" fontId="39" fillId="9" borderId="13" xfId="0" applyFont="1" applyFill="1" applyBorder="1" applyAlignment="1">
      <alignment horizontal="center" vertical="center" wrapText="1"/>
    </xf>
    <xf numFmtId="0" fontId="38" fillId="3" borderId="13" xfId="0" applyFont="1" applyFill="1" applyBorder="1" applyAlignment="1">
      <alignment horizontal="left" vertical="top" wrapText="1"/>
    </xf>
    <xf numFmtId="0" fontId="18" fillId="0" borderId="2" xfId="0" applyFont="1" applyBorder="1" applyAlignment="1">
      <alignment horizontal="left" vertical="top" wrapText="1"/>
    </xf>
    <xf numFmtId="0" fontId="40" fillId="14" borderId="2" xfId="0" applyFont="1" applyFill="1" applyBorder="1" applyAlignment="1">
      <alignment horizontal="left" vertical="center" wrapText="1"/>
    </xf>
    <xf numFmtId="0" fontId="40" fillId="14" borderId="2" xfId="0" applyFont="1" applyFill="1" applyBorder="1" applyAlignment="1">
      <alignment vertical="center" wrapText="1"/>
    </xf>
    <xf numFmtId="0" fontId="31" fillId="0" borderId="2" xfId="0" applyFont="1" applyBorder="1" applyAlignment="1">
      <alignment horizontal="left" vertical="top" wrapText="1"/>
    </xf>
    <xf numFmtId="0" fontId="41" fillId="0" borderId="2" xfId="1" applyFont="1" applyBorder="1" applyAlignment="1" applyProtection="1">
      <alignment vertical="center"/>
    </xf>
    <xf numFmtId="0" fontId="40" fillId="14" borderId="13" xfId="0" applyFont="1" applyFill="1" applyBorder="1" applyAlignment="1">
      <alignment horizontal="left" vertical="center" wrapText="1"/>
    </xf>
    <xf numFmtId="0" fontId="40" fillId="14" borderId="13" xfId="0" applyFont="1" applyFill="1" applyBorder="1" applyAlignment="1">
      <alignment vertical="center" wrapText="1"/>
    </xf>
    <xf numFmtId="0" fontId="31" fillId="0" borderId="13" xfId="0" applyFont="1" applyBorder="1" applyAlignment="1">
      <alignment horizontal="left" vertical="top" wrapText="1"/>
    </xf>
    <xf numFmtId="0" fontId="42" fillId="0" borderId="13" xfId="1" applyFont="1" applyBorder="1" applyAlignment="1">
      <alignment horizontal="left" vertical="center"/>
    </xf>
    <xf numFmtId="0" fontId="43" fillId="0" borderId="2" xfId="1" applyFont="1" applyBorder="1" applyAlignment="1">
      <alignment vertical="center"/>
    </xf>
    <xf numFmtId="0" fontId="43" fillId="0" borderId="2" xfId="1" applyFont="1" applyBorder="1" applyAlignment="1" applyProtection="1">
      <alignment vertical="center"/>
    </xf>
    <xf numFmtId="0" fontId="44" fillId="0" borderId="2" xfId="1" applyFont="1" applyBorder="1" applyAlignment="1">
      <alignment vertical="center"/>
    </xf>
    <xf numFmtId="0" fontId="45" fillId="0" borderId="2" xfId="1" applyFont="1" applyBorder="1"/>
    <xf numFmtId="0" fontId="40" fillId="14" borderId="9" xfId="0" applyFont="1" applyFill="1" applyBorder="1" applyAlignment="1">
      <alignment horizontal="left" vertical="center" wrapText="1"/>
    </xf>
    <xf numFmtId="0" fontId="31" fillId="0" borderId="9" xfId="0" applyFont="1" applyBorder="1" applyAlignment="1">
      <alignment horizontal="left" vertical="top" wrapText="1"/>
    </xf>
    <xf numFmtId="0" fontId="41" fillId="0" borderId="1" xfId="1" applyFont="1" applyBorder="1" applyAlignment="1" applyProtection="1">
      <alignment vertical="center"/>
    </xf>
    <xf numFmtId="0" fontId="47" fillId="9" borderId="1" xfId="0" applyFont="1" applyFill="1" applyBorder="1" applyAlignment="1">
      <alignment horizontal="center" vertical="center" wrapText="1"/>
    </xf>
    <xf numFmtId="0" fontId="31" fillId="3" borderId="1" xfId="0" applyFont="1" applyFill="1" applyBorder="1" applyAlignment="1">
      <alignment horizontal="left" vertical="top" wrapText="1"/>
    </xf>
    <xf numFmtId="0" fontId="49" fillId="0" borderId="2" xfId="1" applyFont="1" applyBorder="1" applyAlignment="1" applyProtection="1">
      <alignment vertical="center"/>
    </xf>
    <xf numFmtId="0" fontId="49" fillId="0" borderId="2" xfId="1" applyFont="1" applyBorder="1" applyProtection="1"/>
    <xf numFmtId="0" fontId="46" fillId="0" borderId="2" xfId="1" applyFont="1" applyBorder="1" applyAlignment="1" applyProtection="1">
      <alignment vertical="center"/>
    </xf>
    <xf numFmtId="0" fontId="48" fillId="0" borderId="0" xfId="0" applyFont="1"/>
    <xf numFmtId="0" fontId="20" fillId="14" borderId="14" xfId="0" applyFont="1" applyFill="1" applyBorder="1" applyAlignment="1">
      <alignment horizontal="left" vertical="center" wrapText="1"/>
    </xf>
    <xf numFmtId="0" fontId="24" fillId="0" borderId="2" xfId="0" applyFont="1" applyBorder="1" applyAlignment="1">
      <alignment horizontal="left" vertical="top"/>
    </xf>
    <xf numFmtId="0" fontId="5" fillId="0" borderId="2" xfId="1" applyBorder="1"/>
    <xf numFmtId="0" fontId="52" fillId="16" borderId="18" xfId="0" applyFont="1" applyFill="1" applyBorder="1" applyAlignment="1">
      <alignment vertical="center" wrapText="1"/>
    </xf>
    <xf numFmtId="0" fontId="0" fillId="0" borderId="2" xfId="0" applyBorder="1"/>
    <xf numFmtId="0" fontId="5" fillId="0" borderId="0" xfId="1"/>
    <xf numFmtId="0" fontId="1" fillId="0" borderId="14" xfId="0" applyFont="1" applyBorder="1" applyAlignment="1">
      <alignment horizontal="center" vertical="center" wrapText="1"/>
    </xf>
    <xf numFmtId="0" fontId="0" fillId="0" borderId="0" xfId="0" applyAlignment="1">
      <alignment horizontal="center" wrapText="1"/>
    </xf>
    <xf numFmtId="0" fontId="53" fillId="0" borderId="2" xfId="0" applyFont="1" applyBorder="1"/>
    <xf numFmtId="0" fontId="0" fillId="17" borderId="2" xfId="0" applyFill="1" applyBorder="1" applyAlignment="1">
      <alignment horizontal="center" vertical="center" wrapText="1"/>
    </xf>
    <xf numFmtId="0" fontId="1" fillId="17"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18" borderId="0" xfId="0" applyFill="1" applyAlignment="1">
      <alignment horizontal="center" vertical="center"/>
    </xf>
    <xf numFmtId="0" fontId="1" fillId="19" borderId="15" xfId="0" applyFont="1" applyFill="1" applyBorder="1"/>
    <xf numFmtId="0" fontId="1" fillId="19" borderId="3" xfId="0" applyFont="1" applyFill="1" applyBorder="1"/>
    <xf numFmtId="0" fontId="1" fillId="19" borderId="16" xfId="0" applyFont="1" applyFill="1" applyBorder="1"/>
    <xf numFmtId="165" fontId="0" fillId="0" borderId="0" xfId="4" applyNumberFormat="1" applyFont="1" applyAlignment="1">
      <alignment horizontal="center"/>
    </xf>
    <xf numFmtId="166" fontId="0" fillId="0" borderId="0" xfId="4" applyNumberFormat="1" applyFont="1"/>
    <xf numFmtId="0" fontId="0" fillId="20" borderId="2" xfId="0" applyFill="1" applyBorder="1" applyAlignment="1">
      <alignment horizontal="left"/>
    </xf>
    <xf numFmtId="0" fontId="0" fillId="21" borderId="2" xfId="0" applyFill="1" applyBorder="1" applyAlignment="1">
      <alignment horizontal="left"/>
    </xf>
    <xf numFmtId="0" fontId="0" fillId="22" borderId="0" xfId="0" applyFill="1" applyAlignment="1">
      <alignment horizontal="left"/>
    </xf>
    <xf numFmtId="0" fontId="0" fillId="0" borderId="2" xfId="0" applyBorder="1" applyAlignment="1">
      <alignment wrapText="1"/>
    </xf>
    <xf numFmtId="0" fontId="0" fillId="0" borderId="20" xfId="0" applyBorder="1"/>
    <xf numFmtId="0" fontId="1" fillId="0" borderId="2" xfId="0" applyFont="1" applyBorder="1" applyAlignment="1">
      <alignment wrapText="1"/>
    </xf>
    <xf numFmtId="0" fontId="1" fillId="0" borderId="2" xfId="0" applyFont="1" applyBorder="1"/>
    <xf numFmtId="0" fontId="0" fillId="0" borderId="0" xfId="0" applyAlignment="1">
      <alignment vertical="center" wrapText="1"/>
    </xf>
    <xf numFmtId="0" fontId="3" fillId="0" borderId="2" xfId="0" applyFont="1" applyBorder="1" applyAlignment="1">
      <alignment horizontal="left" vertical="center" wrapText="1"/>
    </xf>
    <xf numFmtId="0" fontId="16"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3" borderId="2" xfId="0" applyFont="1" applyFill="1" applyBorder="1" applyAlignment="1">
      <alignment horizontal="left" vertical="center" wrapText="1"/>
    </xf>
    <xf numFmtId="0" fontId="2" fillId="0" borderId="2" xfId="1" applyFont="1" applyBorder="1" applyAlignment="1">
      <alignment horizontal="left" vertical="center" wrapText="1"/>
    </xf>
    <xf numFmtId="0" fontId="6" fillId="0" borderId="0" xfId="0" applyFont="1" applyAlignment="1">
      <alignment vertical="center" wrapText="1"/>
    </xf>
    <xf numFmtId="0" fontId="19"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8" fillId="7" borderId="2" xfId="0" applyFont="1" applyFill="1" applyBorder="1" applyAlignment="1">
      <alignment horizontal="left" vertical="center" wrapText="1"/>
    </xf>
    <xf numFmtId="0" fontId="2" fillId="8" borderId="2" xfId="0" applyFont="1" applyFill="1" applyBorder="1" applyAlignment="1">
      <alignment horizontal="left" vertical="center" wrapText="1"/>
    </xf>
    <xf numFmtId="0" fontId="8" fillId="0" borderId="2" xfId="0" applyFont="1" applyBorder="1" applyAlignment="1">
      <alignment horizontal="left" vertical="center" wrapText="1"/>
    </xf>
    <xf numFmtId="0" fontId="0" fillId="0" borderId="2" xfId="0" applyBorder="1" applyAlignment="1">
      <alignment horizontal="left" vertical="center" wrapText="1"/>
    </xf>
    <xf numFmtId="0" fontId="24" fillId="0" borderId="2"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20" fillId="0" borderId="2" xfId="0" applyFont="1" applyBorder="1" applyAlignment="1">
      <alignment horizontal="left" vertical="center" wrapText="1"/>
    </xf>
    <xf numFmtId="0" fontId="21" fillId="0" borderId="2" xfId="0" applyFont="1" applyBorder="1" applyAlignment="1">
      <alignment horizontal="left" vertical="center" wrapText="1"/>
    </xf>
    <xf numFmtId="0" fontId="21" fillId="3" borderId="2" xfId="0" applyFont="1" applyFill="1" applyBorder="1" applyAlignment="1">
      <alignment horizontal="left" vertical="center" wrapText="1"/>
    </xf>
    <xf numFmtId="0" fontId="20" fillId="10" borderId="2" xfId="0" applyFont="1" applyFill="1" applyBorder="1" applyAlignment="1">
      <alignment horizontal="left" vertical="center" wrapText="1"/>
    </xf>
    <xf numFmtId="0" fontId="33" fillId="0" borderId="2" xfId="0" applyFont="1" applyBorder="1" applyAlignment="1">
      <alignment horizontal="left" vertical="center" wrapText="1"/>
    </xf>
    <xf numFmtId="0" fontId="6" fillId="0" borderId="2" xfId="0" applyFont="1" applyBorder="1" applyAlignment="1">
      <alignment horizontal="left" vertical="center" wrapText="1"/>
    </xf>
    <xf numFmtId="0" fontId="30" fillId="0" borderId="2" xfId="0" applyFont="1" applyBorder="1" applyAlignment="1">
      <alignment horizontal="left" vertical="center" wrapText="1"/>
    </xf>
    <xf numFmtId="0" fontId="20" fillId="3" borderId="2" xfId="0" applyFont="1" applyFill="1" applyBorder="1" applyAlignment="1">
      <alignment horizontal="left" vertical="center" wrapText="1"/>
    </xf>
    <xf numFmtId="0" fontId="21" fillId="3" borderId="2" xfId="2" applyFont="1" applyFill="1" applyBorder="1" applyAlignment="1" applyProtection="1">
      <alignment horizontal="left" vertical="center" wrapText="1"/>
    </xf>
    <xf numFmtId="0" fontId="11" fillId="3"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9" fillId="0" borderId="2" xfId="0" applyFont="1" applyBorder="1" applyAlignment="1">
      <alignment horizontal="left" vertical="center" wrapText="1"/>
    </xf>
    <xf numFmtId="0" fontId="0" fillId="0" borderId="2" xfId="0" applyBorder="1" applyAlignment="1">
      <alignment vertical="center" wrapText="1"/>
    </xf>
    <xf numFmtId="0" fontId="3" fillId="0" borderId="0" xfId="0" applyFont="1" applyAlignment="1">
      <alignment horizontal="center" vertical="center" wrapText="1"/>
    </xf>
    <xf numFmtId="0" fontId="0" fillId="0" borderId="0" xfId="0" applyAlignment="1">
      <alignment horizontal="left" vertical="center"/>
    </xf>
    <xf numFmtId="0" fontId="2" fillId="0" borderId="14" xfId="0" applyFont="1" applyBorder="1" applyAlignment="1">
      <alignment horizontal="left" vertical="center"/>
    </xf>
    <xf numFmtId="0" fontId="54" fillId="0" borderId="14" xfId="1" applyFont="1" applyBorder="1" applyAlignment="1">
      <alignment vertical="center"/>
    </xf>
    <xf numFmtId="0" fontId="54" fillId="0" borderId="0" xfId="1" applyFont="1" applyBorder="1" applyAlignment="1">
      <alignment vertical="center"/>
    </xf>
    <xf numFmtId="0" fontId="5" fillId="0" borderId="2" xfId="1" applyBorder="1" applyAlignment="1">
      <alignment vertical="top"/>
    </xf>
    <xf numFmtId="0" fontId="37" fillId="0" borderId="2" xfId="0" applyFont="1" applyBorder="1" applyAlignment="1">
      <alignment vertical="top"/>
    </xf>
    <xf numFmtId="0" fontId="27" fillId="0" borderId="2" xfId="0" applyFont="1" applyBorder="1" applyAlignment="1">
      <alignment wrapText="1"/>
    </xf>
    <xf numFmtId="0" fontId="36" fillId="0" borderId="2" xfId="0" applyFont="1" applyBorder="1" applyAlignment="1">
      <alignment vertical="top" wrapText="1"/>
    </xf>
    <xf numFmtId="0" fontId="50" fillId="0" borderId="2" xfId="0" applyFont="1" applyBorder="1" applyAlignment="1">
      <alignment vertical="top" wrapText="1"/>
    </xf>
    <xf numFmtId="0" fontId="0" fillId="0" borderId="14" xfId="0" applyBorder="1"/>
    <xf numFmtId="0" fontId="1" fillId="23" borderId="14" xfId="0" applyFont="1" applyFill="1" applyBorder="1" applyAlignment="1">
      <alignment horizontal="center" vertical="center" wrapText="1"/>
    </xf>
    <xf numFmtId="0" fontId="1" fillId="23" borderId="2" xfId="0" applyFont="1" applyFill="1" applyBorder="1" applyAlignment="1">
      <alignment horizontal="center" vertical="center" wrapText="1"/>
    </xf>
    <xf numFmtId="0" fontId="1" fillId="23" borderId="3" xfId="0" applyFont="1" applyFill="1" applyBorder="1"/>
    <xf numFmtId="0" fontId="0" fillId="23" borderId="2" xfId="0" applyFill="1" applyBorder="1"/>
    <xf numFmtId="0" fontId="0" fillId="23" borderId="14" xfId="0" applyFill="1" applyBorder="1"/>
    <xf numFmtId="0" fontId="2" fillId="3" borderId="14" xfId="0" applyFont="1" applyFill="1" applyBorder="1" applyAlignment="1">
      <alignment vertical="center" wrapText="1"/>
    </xf>
    <xf numFmtId="0" fontId="19" fillId="0" borderId="14" xfId="0" applyFont="1" applyBorder="1" applyAlignment="1">
      <alignment horizontal="left" vertical="center" wrapText="1"/>
    </xf>
    <xf numFmtId="0" fontId="3" fillId="0" borderId="14"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 xfId="0" applyFont="1" applyBorder="1" applyAlignment="1">
      <alignment horizontal="center" vertical="center" wrapText="1"/>
    </xf>
    <xf numFmtId="0" fontId="52" fillId="16" borderId="21" xfId="0" applyFont="1" applyFill="1" applyBorder="1" applyAlignment="1">
      <alignment horizontal="center" vertical="center" wrapText="1"/>
    </xf>
    <xf numFmtId="0" fontId="52" fillId="16" borderId="22" xfId="0" applyFont="1" applyFill="1" applyBorder="1" applyAlignment="1">
      <alignment horizontal="center" vertical="center" wrapText="1"/>
    </xf>
    <xf numFmtId="0" fontId="29" fillId="4" borderId="0" xfId="0" applyFont="1" applyFill="1" applyAlignment="1">
      <alignment horizontal="center" vertical="center" wrapText="1"/>
    </xf>
    <xf numFmtId="0" fontId="29" fillId="4" borderId="19" xfId="0" applyFont="1" applyFill="1" applyBorder="1" applyAlignment="1">
      <alignment horizontal="center" vertical="center" wrapText="1"/>
    </xf>
    <xf numFmtId="0" fontId="20" fillId="3" borderId="2" xfId="0" applyFont="1" applyFill="1" applyBorder="1" applyAlignment="1">
      <alignment horizontal="center" vertical="top" wrapText="1"/>
    </xf>
    <xf numFmtId="0" fontId="21" fillId="0" borderId="14"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4" xfId="0" applyFont="1" applyBorder="1" applyAlignment="1">
      <alignment horizontal="center" vertical="top" wrapText="1"/>
    </xf>
    <xf numFmtId="0" fontId="21" fillId="0" borderId="1" xfId="0" applyFont="1" applyBorder="1" applyAlignment="1">
      <alignment horizontal="center" vertical="top" wrapText="1"/>
    </xf>
    <xf numFmtId="0" fontId="28" fillId="4" borderId="0" xfId="0" applyFont="1" applyFill="1" applyAlignment="1">
      <alignment horizontal="center" vertical="center" wrapText="1"/>
    </xf>
    <xf numFmtId="0" fontId="28" fillId="4" borderId="17" xfId="0" applyFont="1" applyFill="1" applyBorder="1" applyAlignment="1">
      <alignment horizontal="center" vertical="center" wrapText="1"/>
    </xf>
    <xf numFmtId="0" fontId="19" fillId="0" borderId="0" xfId="0" applyFont="1" applyAlignment="1">
      <alignment horizontal="center" vertical="center" wrapText="1"/>
    </xf>
    <xf numFmtId="0" fontId="2" fillId="3" borderId="14"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29" fillId="4" borderId="12" xfId="0" applyFont="1" applyFill="1" applyBorder="1" applyAlignment="1">
      <alignment horizontal="center" vertical="center" wrapText="1"/>
    </xf>
    <xf numFmtId="0" fontId="20" fillId="0" borderId="2" xfId="0" applyFont="1" applyBorder="1" applyAlignment="1">
      <alignment horizontal="center" vertical="center" wrapText="1"/>
    </xf>
    <xf numFmtId="0" fontId="7" fillId="6" borderId="0" xfId="0" applyFont="1" applyFill="1" applyAlignment="1">
      <alignment horizontal="center" vertical="top"/>
    </xf>
    <xf numFmtId="0" fontId="7" fillId="6" borderId="17" xfId="0" applyFont="1" applyFill="1" applyBorder="1" applyAlignment="1">
      <alignment horizontal="center" vertical="top"/>
    </xf>
    <xf numFmtId="0" fontId="3" fillId="3" borderId="15"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28" fillId="4" borderId="0" xfId="0" applyFont="1" applyFill="1" applyAlignment="1">
      <alignment horizontal="center" vertical="top"/>
    </xf>
    <xf numFmtId="0" fontId="28" fillId="4" borderId="17" xfId="0" applyFont="1" applyFill="1" applyBorder="1" applyAlignment="1">
      <alignment horizontal="center" vertical="top"/>
    </xf>
    <xf numFmtId="0" fontId="20" fillId="0" borderId="14"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1" xfId="0" applyFont="1" applyBorder="1" applyAlignment="1">
      <alignment horizontal="center" vertical="center" wrapText="1"/>
    </xf>
    <xf numFmtId="0" fontId="7" fillId="6" borderId="3" xfId="0" applyFont="1" applyFill="1" applyBorder="1" applyAlignment="1">
      <alignment horizontal="center" vertical="top"/>
    </xf>
    <xf numFmtId="0" fontId="7" fillId="6" borderId="16" xfId="0" applyFont="1" applyFill="1" applyBorder="1" applyAlignment="1">
      <alignment horizontal="center" vertical="top"/>
    </xf>
    <xf numFmtId="0" fontId="28" fillId="4" borderId="3" xfId="0" applyFont="1" applyFill="1" applyBorder="1" applyAlignment="1">
      <alignment horizontal="center" vertical="top"/>
    </xf>
    <xf numFmtId="0" fontId="28" fillId="4" borderId="16" xfId="0" applyFont="1" applyFill="1" applyBorder="1" applyAlignment="1">
      <alignment horizontal="center" vertical="top"/>
    </xf>
    <xf numFmtId="0" fontId="52" fillId="19" borderId="19" xfId="0" applyFont="1" applyFill="1" applyBorder="1" applyAlignment="1">
      <alignment horizontal="center" vertical="center" wrapText="1"/>
    </xf>
    <xf numFmtId="0" fontId="25" fillId="2" borderId="6" xfId="0" applyFont="1" applyFill="1" applyBorder="1" applyAlignment="1">
      <alignment horizontal="center" vertical="top" wrapText="1"/>
    </xf>
    <xf numFmtId="0" fontId="26" fillId="4" borderId="5" xfId="0" applyFont="1" applyFill="1" applyBorder="1" applyAlignment="1">
      <alignment horizontal="center" vertical="top" wrapText="1"/>
    </xf>
    <xf numFmtId="0" fontId="26" fillId="4" borderId="6" xfId="0" applyFont="1" applyFill="1" applyBorder="1" applyAlignment="1">
      <alignment horizontal="center" vertical="top" wrapText="1"/>
    </xf>
    <xf numFmtId="0" fontId="26" fillId="4" borderId="7" xfId="0" applyFont="1" applyFill="1" applyBorder="1" applyAlignment="1">
      <alignment horizontal="center" vertical="top" wrapText="1"/>
    </xf>
    <xf numFmtId="0" fontId="25" fillId="2" borderId="12" xfId="0" applyFont="1" applyFill="1" applyBorder="1" applyAlignment="1">
      <alignment horizontal="center" vertical="top" wrapText="1"/>
    </xf>
  </cellXfs>
  <cellStyles count="5">
    <cellStyle name="Excel Built-in 20% - Accent4" xfId="2" xr:uid="{00000000-0005-0000-0000-000000000000}"/>
    <cellStyle name="Excel Built-in Title" xfId="3" xr:uid="{00000000-0005-0000-0000-000001000000}"/>
    <cellStyle name="Гиперссылка" xfId="1" builtinId="8"/>
    <cellStyle name="Обычный" xfId="0" builtinId="0"/>
    <cellStyle name="Финансовый" xfId="4" builtinId="3"/>
  </cellStyles>
  <dxfs count="31">
    <dxf>
      <font>
        <b/>
        <i val="0"/>
      </font>
      <fill>
        <patternFill>
          <bgColor theme="9" tint="0.39994506668294322"/>
        </patternFill>
      </fill>
    </dxf>
    <dxf>
      <font>
        <color auto="1"/>
      </font>
      <fill>
        <patternFill>
          <bgColor theme="9" tint="0.39994506668294322"/>
        </patternFill>
      </fill>
    </dxf>
    <dxf>
      <fill>
        <patternFill>
          <bgColor rgb="FFFFFF66"/>
        </patternFill>
      </fill>
    </dxf>
    <dxf>
      <fill>
        <patternFill>
          <bgColor theme="7" tint="0.39994506668294322"/>
        </patternFill>
      </fill>
    </dxf>
    <dxf>
      <fill>
        <patternFill>
          <bgColor theme="5" tint="0.39994506668294322"/>
        </patternFill>
      </fill>
    </dxf>
    <dxf>
      <fill>
        <patternFill>
          <bgColor theme="9" tint="0.39994506668294322"/>
        </patternFill>
      </fill>
    </dxf>
    <dxf>
      <fill>
        <patternFill>
          <bgColor rgb="FFFFFF66"/>
        </patternFill>
      </fill>
    </dxf>
    <dxf>
      <fill>
        <patternFill>
          <bgColor theme="7" tint="0.39994506668294322"/>
        </patternFill>
      </fill>
    </dxf>
    <dxf>
      <fill>
        <patternFill>
          <bgColor theme="5" tint="0.39994506668294322"/>
        </patternFill>
      </fill>
    </dxf>
    <dxf>
      <fill>
        <patternFill>
          <bgColor theme="9" tint="0.39994506668294322"/>
        </patternFill>
      </fill>
    </dxf>
    <dxf>
      <fill>
        <patternFill>
          <bgColor rgb="FFFFFF66"/>
        </patternFill>
      </fill>
    </dxf>
    <dxf>
      <fill>
        <patternFill>
          <bgColor theme="7" tint="0.39994506668294322"/>
        </patternFill>
      </fill>
    </dxf>
    <dxf>
      <fill>
        <patternFill>
          <bgColor theme="5" tint="0.39994506668294322"/>
        </patternFill>
      </fill>
    </dxf>
    <dxf>
      <fill>
        <patternFill>
          <bgColor theme="9" tint="0.39994506668294322"/>
        </patternFill>
      </fill>
    </dxf>
    <dxf>
      <fill>
        <patternFill>
          <bgColor rgb="FFFFFF66"/>
        </patternFill>
      </fill>
    </dxf>
    <dxf>
      <fill>
        <patternFill>
          <bgColor theme="7" tint="0.39994506668294322"/>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theme="0"/>
      </font>
    </dxf>
    <dxf>
      <fill>
        <patternFill>
          <bgColor theme="9" tint="0.39994506668294322"/>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theme="7" tint="0.39994506668294322"/>
        </patternFill>
      </fill>
    </dxf>
    <dxf>
      <fill>
        <patternFill>
          <bgColor theme="5" tint="0.39994506668294322"/>
        </patternFill>
      </fill>
    </dxf>
    <dxf>
      <fill>
        <patternFill>
          <bgColor theme="9" tint="0.39994506668294322"/>
        </patternFill>
      </fill>
    </dxf>
    <dxf>
      <font>
        <color rgb="FF9C0006"/>
      </font>
      <fill>
        <patternFill>
          <bgColor rgb="FFFFC7CE"/>
        </patternFill>
      </fill>
    </dxf>
  </dxfs>
  <tableStyles count="0" defaultTableStyle="TableStyleMedium2" defaultPivotStyle="PivotStyleLight16"/>
  <colors>
    <mruColors>
      <color rgb="FFF897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1053;&#1072;&#1095;&#1072;&#1083;&#1086;"/></Relationships>
</file>

<file path=xl/drawings/drawing1.xml><?xml version="1.0" encoding="utf-8"?>
<xdr:wsDr xmlns:xdr="http://schemas.openxmlformats.org/drawingml/2006/spreadsheetDrawing" xmlns:a="http://schemas.openxmlformats.org/drawingml/2006/main">
  <xdr:twoCellAnchor>
    <xdr:from>
      <xdr:col>7</xdr:col>
      <xdr:colOff>1917056</xdr:colOff>
      <xdr:row>0</xdr:row>
      <xdr:rowOff>47037</xdr:rowOff>
    </xdr:from>
    <xdr:to>
      <xdr:col>8</xdr:col>
      <xdr:colOff>1229810</xdr:colOff>
      <xdr:row>0</xdr:row>
      <xdr:rowOff>540096</xdr:rowOff>
    </xdr:to>
    <xdr:sp macro="" textlink="">
      <xdr:nvSpPr>
        <xdr:cNvPr id="8" name="Прямоугольник: скругленные углы 1">
          <a:hlinkClick xmlns:r="http://schemas.openxmlformats.org/officeDocument/2006/relationships" r:id="rId1"/>
          <a:extLst>
            <a:ext uri="{FF2B5EF4-FFF2-40B4-BE49-F238E27FC236}">
              <a16:creationId xmlns:a16="http://schemas.microsoft.com/office/drawing/2014/main" id="{25B8A279-ACC1-4EA1-8F4F-D3FA2CA2DC20}"/>
            </a:ext>
          </a:extLst>
        </xdr:cNvPr>
        <xdr:cNvSpPr/>
      </xdr:nvSpPr>
      <xdr:spPr>
        <a:xfrm>
          <a:off x="17808132" y="47037"/>
          <a:ext cx="1784431" cy="493059"/>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600" b="1"/>
            <a:t>К оглавлению</a:t>
          </a:r>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imgur.com/A2lmtMU.png" TargetMode="External"/><Relationship Id="rId7" Type="http://schemas.openxmlformats.org/officeDocument/2006/relationships/drawing" Target="../drawings/drawing1.xml"/><Relationship Id="rId2" Type="http://schemas.openxmlformats.org/officeDocument/2006/relationships/hyperlink" Target="https://ahrefs.com/backlink-checker" TargetMode="External"/><Relationship Id="rId1" Type="http://schemas.openxmlformats.org/officeDocument/2006/relationships/hyperlink" Target="https://i.imgur.com/tVoXRq7.png" TargetMode="External"/><Relationship Id="rId6" Type="http://schemas.openxmlformats.org/officeDocument/2006/relationships/printerSettings" Target="../printerSettings/printerSettings1.bin"/><Relationship Id="rId5" Type="http://schemas.openxmlformats.org/officeDocument/2006/relationships/hyperlink" Target="https://i.imgur.com/BKEBV2F.png" TargetMode="External"/><Relationship Id="rId4" Type="http://schemas.openxmlformats.org/officeDocument/2006/relationships/hyperlink" Target="https://i.imgur.com/V2cZyGJ.pn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turgenev.ashmanov.com/" TargetMode="External"/><Relationship Id="rId1" Type="http://schemas.openxmlformats.org/officeDocument/2006/relationships/hyperlink" Target="https://ahrefs.com/backlink-checke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topvisor.com/ru/" TargetMode="External"/><Relationship Id="rId13" Type="http://schemas.openxmlformats.org/officeDocument/2006/relationships/hyperlink" Target="https://www.sape.ru/" TargetMode="External"/><Relationship Id="rId18" Type="http://schemas.openxmlformats.org/officeDocument/2006/relationships/hyperlink" Target="https://trello.com/" TargetMode="External"/><Relationship Id="rId26" Type="http://schemas.openxmlformats.org/officeDocument/2006/relationships/hyperlink" Target="https://pomodoro-tracker.com/" TargetMode="External"/><Relationship Id="rId3" Type="http://schemas.openxmlformats.org/officeDocument/2006/relationships/hyperlink" Target="https://tools.pixelplus.ru/" TargetMode="External"/><Relationship Id="rId21" Type="http://schemas.openxmlformats.org/officeDocument/2006/relationships/hyperlink" Target="https://www.etxt.ru/" TargetMode="External"/><Relationship Id="rId7" Type="http://schemas.openxmlformats.org/officeDocument/2006/relationships/hyperlink" Target="https://virusdie.ru/" TargetMode="External"/><Relationship Id="rId12" Type="http://schemas.openxmlformats.org/officeDocument/2006/relationships/hyperlink" Target="https://pr.sape.ru/" TargetMode="External"/><Relationship Id="rId17" Type="http://schemas.openxmlformats.org/officeDocument/2006/relationships/hyperlink" Target="https://trello.com/" TargetMode="External"/><Relationship Id="rId25" Type="http://schemas.openxmlformats.org/officeDocument/2006/relationships/hyperlink" Target="https://pomodoro-tracker.com/" TargetMode="External"/><Relationship Id="rId2" Type="http://schemas.openxmlformats.org/officeDocument/2006/relationships/hyperlink" Target="https://arsenkin.ru/tools/" TargetMode="External"/><Relationship Id="rId16" Type="http://schemas.openxmlformats.org/officeDocument/2006/relationships/hyperlink" Target="https://www.cloudflare.com/" TargetMode="External"/><Relationship Id="rId20" Type="http://schemas.openxmlformats.org/officeDocument/2006/relationships/hyperlink" Target="https://www.etxt.ru/" TargetMode="External"/><Relationship Id="rId29" Type="http://schemas.openxmlformats.org/officeDocument/2006/relationships/printerSettings" Target="../printerSettings/printerSettings2.bin"/><Relationship Id="rId1" Type="http://schemas.openxmlformats.org/officeDocument/2006/relationships/hyperlink" Target="https://just-magic.org/" TargetMode="External"/><Relationship Id="rId6" Type="http://schemas.openxmlformats.org/officeDocument/2006/relationships/hyperlink" Target="http://ping-admin.ru/" TargetMode="External"/><Relationship Id="rId11" Type="http://schemas.openxmlformats.org/officeDocument/2006/relationships/hyperlink" Target="https://artur2k.ru/tools/" TargetMode="External"/><Relationship Id="rId24" Type="http://schemas.openxmlformats.org/officeDocument/2006/relationships/hyperlink" Target="https://pomidorko.ru/" TargetMode="External"/><Relationship Id="rId5" Type="http://schemas.openxmlformats.org/officeDocument/2006/relationships/hyperlink" Target="https://spywords.ru/" TargetMode="External"/><Relationship Id="rId15" Type="http://schemas.openxmlformats.org/officeDocument/2006/relationships/hyperlink" Target="https://www.figma.com/" TargetMode="External"/><Relationship Id="rId23" Type="http://schemas.openxmlformats.org/officeDocument/2006/relationships/hyperlink" Target="https://singularity-app.com/" TargetMode="External"/><Relationship Id="rId28" Type="http://schemas.openxmlformats.org/officeDocument/2006/relationships/hyperlink" Target="https://tzmonster.pro/" TargetMode="External"/><Relationship Id="rId10" Type="http://schemas.openxmlformats.org/officeDocument/2006/relationships/hyperlink" Target="https://miratext.ru/seo_analiz_text" TargetMode="External"/><Relationship Id="rId19" Type="http://schemas.openxmlformats.org/officeDocument/2006/relationships/hyperlink" Target="https://kwork.ru/" TargetMode="External"/><Relationship Id="rId4" Type="http://schemas.openxmlformats.org/officeDocument/2006/relationships/hyperlink" Target="https://www.keys.so/ru/" TargetMode="External"/><Relationship Id="rId9" Type="http://schemas.openxmlformats.org/officeDocument/2006/relationships/hyperlink" Target="http://www.megaindex.ru/" TargetMode="External"/><Relationship Id="rId14" Type="http://schemas.openxmlformats.org/officeDocument/2006/relationships/hyperlink" Target="http://www.responsinator.com/" TargetMode="External"/><Relationship Id="rId22" Type="http://schemas.openxmlformats.org/officeDocument/2006/relationships/hyperlink" Target="https://kwork.ru/" TargetMode="External"/><Relationship Id="rId27" Type="http://schemas.openxmlformats.org/officeDocument/2006/relationships/hyperlink" Target="https://pomidorko.ru/"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vk.com/lseo_blog?w=wall-160192855_17329" TargetMode="External"/><Relationship Id="rId2" Type="http://schemas.openxmlformats.org/officeDocument/2006/relationships/hyperlink" Target="https://vk.com/@lseo_blog-filtr-za-kachestvo-stranic-i-semantiki" TargetMode="External"/><Relationship Id="rId1" Type="http://schemas.openxmlformats.org/officeDocument/2006/relationships/hyperlink" Target="https://vk.com/lseo_blog?w=wall-160192855_147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AN189"/>
  <sheetViews>
    <sheetView tabSelected="1" topLeftCell="B1" zoomScale="55" zoomScaleNormal="55" workbookViewId="0">
      <pane ySplit="1" topLeftCell="A157" activePane="bottomLeft" state="frozen"/>
      <selection pane="bottomLeft" activeCell="D162" sqref="D162"/>
    </sheetView>
  </sheetViews>
  <sheetFormatPr defaultColWidth="9.140625" defaultRowHeight="18.75"/>
  <cols>
    <col min="1" max="1" width="25" style="102" customWidth="1"/>
    <col min="2" max="2" width="116.5703125" style="102" customWidth="1"/>
    <col min="3" max="3" width="24.140625" style="102" customWidth="1"/>
    <col min="4" max="4" width="255.85546875" style="102" customWidth="1"/>
    <col min="5" max="5" width="49.42578125" style="102" customWidth="1"/>
    <col min="6" max="6" width="16.7109375" style="108" customWidth="1"/>
    <col min="7" max="7" width="20.28515625" style="102" customWidth="1"/>
    <col min="8" max="8" width="37" style="102" customWidth="1"/>
    <col min="9" max="9" width="19.7109375" style="102" customWidth="1"/>
    <col min="10" max="10" width="49.28515625" style="102" customWidth="1"/>
    <col min="11" max="11" width="26.140625" style="102" customWidth="1"/>
    <col min="12" max="16384" width="9.140625" style="102"/>
  </cols>
  <sheetData>
    <row r="1" spans="1:11" thickBot="1">
      <c r="A1" s="80" t="s">
        <v>526</v>
      </c>
      <c r="B1" s="161" t="s">
        <v>525</v>
      </c>
      <c r="C1" s="162"/>
      <c r="D1" s="80" t="s">
        <v>319</v>
      </c>
      <c r="E1" s="80" t="s">
        <v>644</v>
      </c>
      <c r="F1" s="80" t="s">
        <v>320</v>
      </c>
      <c r="G1" s="80" t="s">
        <v>321</v>
      </c>
      <c r="H1" s="80" t="s">
        <v>322</v>
      </c>
      <c r="I1" s="80"/>
      <c r="J1" s="80" t="s">
        <v>685</v>
      </c>
      <c r="K1" s="80" t="s">
        <v>321</v>
      </c>
    </row>
    <row r="2" spans="1:11" s="134" customFormat="1" ht="26.25">
      <c r="A2" s="164" t="s">
        <v>654</v>
      </c>
      <c r="B2" s="164"/>
      <c r="C2" s="164"/>
      <c r="D2" s="164"/>
      <c r="E2" s="164"/>
      <c r="F2" s="164"/>
      <c r="G2" s="164"/>
      <c r="H2" s="164"/>
      <c r="I2" s="135" t="s">
        <v>660</v>
      </c>
      <c r="J2" s="136" t="s">
        <v>654</v>
      </c>
      <c r="K2" s="103" t="s">
        <v>645</v>
      </c>
    </row>
    <row r="3" spans="1:11" s="134" customFormat="1" ht="56.25">
      <c r="A3" s="151" t="s">
        <v>527</v>
      </c>
      <c r="B3" s="103" t="s">
        <v>2</v>
      </c>
      <c r="C3" s="104"/>
      <c r="D3" s="105" t="s">
        <v>3</v>
      </c>
      <c r="E3" s="105" t="s">
        <v>213</v>
      </c>
      <c r="F3" s="103">
        <v>1</v>
      </c>
      <c r="G3" s="103"/>
      <c r="H3" s="106"/>
      <c r="I3" s="102"/>
      <c r="J3" s="137" t="s">
        <v>323</v>
      </c>
      <c r="K3" s="103" t="s">
        <v>646</v>
      </c>
    </row>
    <row r="4" spans="1:11" s="134" customFormat="1" ht="56.25">
      <c r="A4" s="152"/>
      <c r="B4" s="103" t="s">
        <v>4</v>
      </c>
      <c r="C4" s="104"/>
      <c r="D4" s="105" t="s">
        <v>123</v>
      </c>
      <c r="E4" s="105" t="s">
        <v>214</v>
      </c>
      <c r="F4" s="103">
        <v>1</v>
      </c>
      <c r="G4" s="103"/>
      <c r="H4" s="106"/>
      <c r="I4" s="102"/>
      <c r="J4" s="137" t="s">
        <v>487</v>
      </c>
      <c r="K4" s="103" t="s">
        <v>647</v>
      </c>
    </row>
    <row r="5" spans="1:11" s="134" customFormat="1" ht="37.5">
      <c r="A5" s="152"/>
      <c r="B5" s="103" t="s">
        <v>148</v>
      </c>
      <c r="C5" s="104"/>
      <c r="D5" s="105" t="s">
        <v>690</v>
      </c>
      <c r="E5" s="107" t="s">
        <v>5</v>
      </c>
      <c r="F5" s="103">
        <v>2</v>
      </c>
      <c r="G5" s="103"/>
      <c r="H5" s="106"/>
      <c r="I5" s="102"/>
      <c r="J5" s="137" t="s">
        <v>538</v>
      </c>
      <c r="K5" s="103" t="s">
        <v>648</v>
      </c>
    </row>
    <row r="6" spans="1:11" s="134" customFormat="1" ht="56.25">
      <c r="A6" s="153"/>
      <c r="B6" s="103" t="s">
        <v>6</v>
      </c>
      <c r="C6" s="104"/>
      <c r="D6" s="105" t="s">
        <v>122</v>
      </c>
      <c r="E6" s="107" t="s">
        <v>215</v>
      </c>
      <c r="F6" s="103">
        <v>1</v>
      </c>
      <c r="G6" s="103"/>
      <c r="H6" s="106"/>
      <c r="I6" s="102"/>
      <c r="J6" s="137" t="s">
        <v>553</v>
      </c>
    </row>
    <row r="7" spans="1:11" s="134" customFormat="1" ht="26.25">
      <c r="A7" s="163" t="s">
        <v>323</v>
      </c>
      <c r="B7" s="163"/>
      <c r="C7" s="163"/>
      <c r="D7" s="163"/>
      <c r="E7" s="163"/>
      <c r="F7" s="163"/>
      <c r="G7" s="163"/>
      <c r="H7" s="163"/>
      <c r="I7" s="102"/>
      <c r="J7" s="137" t="s">
        <v>656</v>
      </c>
    </row>
    <row r="8" spans="1:11" s="134" customFormat="1" ht="131.25">
      <c r="A8" s="122" t="s">
        <v>17</v>
      </c>
      <c r="B8" s="111" t="s">
        <v>232</v>
      </c>
      <c r="C8" s="112" t="s">
        <v>7</v>
      </c>
      <c r="D8" s="113" t="s">
        <v>233</v>
      </c>
      <c r="E8" s="114" t="s">
        <v>676</v>
      </c>
      <c r="F8" s="111">
        <v>1</v>
      </c>
      <c r="G8" s="111"/>
      <c r="H8" s="106"/>
      <c r="I8" s="102"/>
      <c r="J8" s="137" t="s">
        <v>324</v>
      </c>
    </row>
    <row r="9" spans="1:11" s="134" customFormat="1" ht="56.25">
      <c r="A9" s="132"/>
      <c r="B9" s="103" t="s">
        <v>124</v>
      </c>
      <c r="C9" s="104"/>
      <c r="D9" s="104" t="s">
        <v>618</v>
      </c>
      <c r="E9" s="114" t="s">
        <v>8</v>
      </c>
      <c r="F9" s="111">
        <v>3</v>
      </c>
      <c r="G9" s="111"/>
      <c r="H9" s="106"/>
      <c r="I9" s="102"/>
      <c r="J9" s="137" t="s">
        <v>1</v>
      </c>
    </row>
    <row r="10" spans="1:11" s="134" customFormat="1" ht="56.25">
      <c r="A10" s="122" t="s">
        <v>17</v>
      </c>
      <c r="B10" s="109" t="s">
        <v>208</v>
      </c>
      <c r="C10" s="104"/>
      <c r="D10" s="104" t="s">
        <v>696</v>
      </c>
      <c r="E10" s="114" t="s">
        <v>217</v>
      </c>
      <c r="F10" s="111">
        <v>1</v>
      </c>
      <c r="G10" s="111"/>
      <c r="H10" s="106"/>
      <c r="I10" s="102"/>
      <c r="J10" s="137" t="s">
        <v>55</v>
      </c>
    </row>
    <row r="11" spans="1:11" s="134" customFormat="1" ht="112.5">
      <c r="A11" s="122" t="s">
        <v>17</v>
      </c>
      <c r="B11" s="116" t="s">
        <v>294</v>
      </c>
      <c r="C11" s="104" t="s">
        <v>619</v>
      </c>
      <c r="D11" s="104" t="s">
        <v>296</v>
      </c>
      <c r="E11" s="109" t="s">
        <v>295</v>
      </c>
      <c r="F11" s="111">
        <v>2</v>
      </c>
      <c r="G11" s="111"/>
      <c r="H11" s="106"/>
      <c r="I11" s="102"/>
      <c r="J11" s="137" t="s">
        <v>56</v>
      </c>
    </row>
    <row r="12" spans="1:11" s="134" customFormat="1" ht="75">
      <c r="A12" s="132"/>
      <c r="B12" s="116" t="s">
        <v>662</v>
      </c>
      <c r="C12" s="115"/>
      <c r="D12" s="104" t="s">
        <v>620</v>
      </c>
      <c r="E12" s="109" t="s">
        <v>663</v>
      </c>
      <c r="F12" s="111">
        <v>3</v>
      </c>
      <c r="G12" s="111"/>
      <c r="H12" s="106"/>
      <c r="I12" s="102"/>
      <c r="J12" s="137" t="s">
        <v>108</v>
      </c>
    </row>
    <row r="13" spans="1:11" s="134" customFormat="1" ht="37.5">
      <c r="A13" s="132"/>
      <c r="B13" s="116" t="s">
        <v>557</v>
      </c>
      <c r="C13" s="115"/>
      <c r="D13" s="104" t="s">
        <v>558</v>
      </c>
      <c r="E13" s="79" t="s">
        <v>664</v>
      </c>
      <c r="F13" s="111">
        <v>3</v>
      </c>
      <c r="G13" s="111"/>
      <c r="H13" s="106"/>
      <c r="I13" s="102"/>
      <c r="J13" s="137" t="s">
        <v>655</v>
      </c>
    </row>
    <row r="14" spans="1:11" ht="56.25">
      <c r="A14" s="132"/>
      <c r="B14" s="116" t="s">
        <v>559</v>
      </c>
      <c r="C14" s="115"/>
      <c r="D14" s="104" t="s">
        <v>621</v>
      </c>
      <c r="E14" s="109" t="s">
        <v>665</v>
      </c>
      <c r="F14" s="111">
        <v>3</v>
      </c>
      <c r="G14" s="111"/>
      <c r="H14" s="106"/>
      <c r="J14" s="133"/>
    </row>
    <row r="15" spans="1:11" ht="37.5">
      <c r="A15" s="150" t="s">
        <v>721</v>
      </c>
      <c r="B15" s="109" t="s">
        <v>722</v>
      </c>
      <c r="C15" s="104"/>
      <c r="D15" s="104" t="s">
        <v>723</v>
      </c>
      <c r="E15" s="109"/>
      <c r="F15" s="111"/>
      <c r="G15" s="111"/>
      <c r="H15" s="106"/>
      <c r="J15" s="133"/>
    </row>
    <row r="16" spans="1:11" ht="56.25">
      <c r="A16" s="150" t="s">
        <v>724</v>
      </c>
      <c r="B16" s="109" t="s">
        <v>725</v>
      </c>
      <c r="C16" s="104"/>
      <c r="D16" s="104" t="s">
        <v>726</v>
      </c>
      <c r="E16" s="109"/>
      <c r="F16" s="111"/>
      <c r="G16" s="111"/>
      <c r="H16" s="106"/>
      <c r="J16" s="133"/>
    </row>
    <row r="17" spans="1:10" ht="56.25">
      <c r="A17" s="109" t="s">
        <v>705</v>
      </c>
      <c r="B17" s="109" t="s">
        <v>706</v>
      </c>
      <c r="C17" s="104"/>
      <c r="D17" s="104" t="s">
        <v>707</v>
      </c>
      <c r="E17" s="109"/>
      <c r="F17" s="111"/>
      <c r="G17" s="111"/>
      <c r="H17" s="106"/>
      <c r="J17" s="133"/>
    </row>
    <row r="18" spans="1:10" ht="36">
      <c r="A18" s="170" t="s">
        <v>487</v>
      </c>
      <c r="B18" s="170"/>
      <c r="C18" s="170"/>
      <c r="D18" s="170"/>
      <c r="E18" s="170"/>
      <c r="F18" s="170"/>
      <c r="G18" s="170"/>
      <c r="H18" s="171"/>
      <c r="I18" s="82" t="s">
        <v>659</v>
      </c>
    </row>
    <row r="19" spans="1:10">
      <c r="A19" s="172" t="s">
        <v>695</v>
      </c>
      <c r="B19" s="172"/>
      <c r="C19" s="172"/>
      <c r="D19" s="172"/>
      <c r="E19" s="172"/>
      <c r="F19" s="172"/>
      <c r="G19" s="172"/>
      <c r="H19" s="172"/>
    </row>
    <row r="20" spans="1:10" ht="37.5">
      <c r="A20" s="154" t="s">
        <v>528</v>
      </c>
      <c r="B20" s="109" t="s">
        <v>488</v>
      </c>
      <c r="C20" s="104"/>
      <c r="D20" s="104" t="s">
        <v>590</v>
      </c>
      <c r="E20" s="104" t="s">
        <v>673</v>
      </c>
      <c r="F20" s="109">
        <v>1</v>
      </c>
      <c r="G20" s="109"/>
      <c r="H20" s="104"/>
    </row>
    <row r="21" spans="1:10" ht="75">
      <c r="A21" s="154"/>
      <c r="B21" s="109" t="s">
        <v>496</v>
      </c>
      <c r="C21" s="104"/>
      <c r="D21" s="104" t="s">
        <v>591</v>
      </c>
      <c r="E21" s="104" t="s">
        <v>674</v>
      </c>
      <c r="F21" s="109">
        <v>1</v>
      </c>
      <c r="G21" s="109"/>
      <c r="H21" s="104"/>
    </row>
    <row r="22" spans="1:10" ht="56.25">
      <c r="A22" s="154"/>
      <c r="B22" s="109" t="s">
        <v>514</v>
      </c>
      <c r="C22" s="104"/>
      <c r="D22" s="104" t="s">
        <v>592</v>
      </c>
      <c r="E22" s="104"/>
      <c r="F22" s="109">
        <v>1</v>
      </c>
      <c r="G22" s="109"/>
      <c r="H22" s="104"/>
    </row>
    <row r="23" spans="1:10">
      <c r="A23" s="154"/>
      <c r="B23" s="109" t="s">
        <v>503</v>
      </c>
      <c r="C23" s="104"/>
      <c r="D23" s="104" t="s">
        <v>593</v>
      </c>
      <c r="E23" s="104" t="s">
        <v>672</v>
      </c>
      <c r="F23" s="109">
        <v>1</v>
      </c>
      <c r="G23" s="109"/>
      <c r="H23" s="104"/>
    </row>
    <row r="24" spans="1:10" ht="75">
      <c r="A24" s="154" t="s">
        <v>529</v>
      </c>
      <c r="B24" s="155" t="s">
        <v>522</v>
      </c>
      <c r="C24" s="109" t="s">
        <v>489</v>
      </c>
      <c r="D24" s="104" t="s">
        <v>493</v>
      </c>
      <c r="E24" s="104"/>
      <c r="F24" s="109">
        <v>1</v>
      </c>
      <c r="G24" s="109"/>
      <c r="H24" s="104"/>
    </row>
    <row r="25" spans="1:10" ht="56.25">
      <c r="A25" s="154"/>
      <c r="B25" s="156"/>
      <c r="C25" s="109" t="s">
        <v>490</v>
      </c>
      <c r="D25" s="104" t="s">
        <v>494</v>
      </c>
      <c r="E25" s="79" t="s">
        <v>666</v>
      </c>
      <c r="F25" s="109">
        <v>1</v>
      </c>
      <c r="G25" s="109"/>
      <c r="H25" s="104"/>
    </row>
    <row r="26" spans="1:10" ht="56.25">
      <c r="A26" s="154"/>
      <c r="B26" s="157"/>
      <c r="C26" s="109" t="s">
        <v>491</v>
      </c>
      <c r="D26" s="104" t="s">
        <v>495</v>
      </c>
      <c r="E26" s="104" t="s">
        <v>670</v>
      </c>
      <c r="F26" s="109">
        <v>1</v>
      </c>
      <c r="G26" s="109"/>
      <c r="H26" s="104"/>
    </row>
    <row r="27" spans="1:10" ht="37.5">
      <c r="A27" s="154"/>
      <c r="B27" s="109" t="s">
        <v>497</v>
      </c>
      <c r="C27" s="104"/>
      <c r="D27" s="104" t="s">
        <v>594</v>
      </c>
      <c r="E27" s="104"/>
      <c r="F27" s="109">
        <v>1</v>
      </c>
      <c r="G27" s="109"/>
      <c r="H27" s="104"/>
    </row>
    <row r="28" spans="1:10" ht="37.5">
      <c r="A28" s="154"/>
      <c r="B28" s="109" t="s">
        <v>498</v>
      </c>
      <c r="C28" s="104"/>
      <c r="D28" s="104" t="s">
        <v>595</v>
      </c>
      <c r="E28" s="104"/>
      <c r="F28" s="109">
        <v>1</v>
      </c>
      <c r="G28" s="109"/>
      <c r="H28" s="104"/>
    </row>
    <row r="29" spans="1:10" ht="37.5">
      <c r="A29" s="154"/>
      <c r="B29" s="109" t="s">
        <v>501</v>
      </c>
      <c r="C29" s="104"/>
      <c r="D29" s="104" t="s">
        <v>596</v>
      </c>
      <c r="E29" s="104"/>
      <c r="F29" s="109">
        <v>1</v>
      </c>
      <c r="G29" s="109"/>
      <c r="H29" s="104"/>
    </row>
    <row r="30" spans="1:10" ht="37.5">
      <c r="A30" s="154"/>
      <c r="B30" s="109" t="s">
        <v>508</v>
      </c>
      <c r="C30" s="104"/>
      <c r="D30" s="104" t="s">
        <v>597</v>
      </c>
      <c r="E30" s="104"/>
      <c r="F30" s="109">
        <v>1</v>
      </c>
      <c r="G30" s="109"/>
      <c r="H30" s="104"/>
    </row>
    <row r="31" spans="1:10">
      <c r="A31" s="154"/>
      <c r="B31" s="109" t="s">
        <v>510</v>
      </c>
      <c r="C31" s="104"/>
      <c r="D31" s="104" t="s">
        <v>598</v>
      </c>
      <c r="E31" s="104"/>
      <c r="F31" s="109">
        <v>2</v>
      </c>
      <c r="G31" s="109"/>
      <c r="H31" s="104"/>
    </row>
    <row r="32" spans="1:10" ht="93.75">
      <c r="A32" s="154"/>
      <c r="B32" s="109" t="s">
        <v>513</v>
      </c>
      <c r="C32" s="104"/>
      <c r="D32" s="104" t="s">
        <v>599</v>
      </c>
      <c r="E32" s="104" t="s">
        <v>537</v>
      </c>
      <c r="F32" s="109">
        <v>1</v>
      </c>
      <c r="G32" s="109"/>
      <c r="H32" s="104"/>
    </row>
    <row r="33" spans="1:8" ht="37.5">
      <c r="A33" s="155" t="s">
        <v>530</v>
      </c>
      <c r="B33" s="109" t="s">
        <v>492</v>
      </c>
      <c r="C33" s="104"/>
      <c r="D33" s="104" t="s">
        <v>600</v>
      </c>
      <c r="E33" s="104"/>
      <c r="F33" s="109">
        <v>1</v>
      </c>
      <c r="G33" s="109"/>
      <c r="H33" s="104"/>
    </row>
    <row r="34" spans="1:8" ht="112.5">
      <c r="A34" s="156"/>
      <c r="B34" s="109" t="s">
        <v>499</v>
      </c>
      <c r="C34" s="104"/>
      <c r="D34" s="104" t="s">
        <v>601</v>
      </c>
      <c r="E34" s="104" t="s">
        <v>671</v>
      </c>
      <c r="F34" s="109">
        <v>1</v>
      </c>
      <c r="G34" s="109"/>
      <c r="H34" s="104"/>
    </row>
    <row r="35" spans="1:8" ht="56.25">
      <c r="A35" s="156"/>
      <c r="B35" s="109" t="s">
        <v>509</v>
      </c>
      <c r="C35" s="104"/>
      <c r="D35" s="104" t="s">
        <v>602</v>
      </c>
      <c r="E35" s="104"/>
      <c r="F35" s="109">
        <v>1</v>
      </c>
      <c r="G35" s="109"/>
      <c r="H35" s="104"/>
    </row>
    <row r="36" spans="1:8" ht="150">
      <c r="A36" s="157"/>
      <c r="B36" s="109" t="s">
        <v>738</v>
      </c>
      <c r="C36" s="104" t="s">
        <v>739</v>
      </c>
      <c r="D36" s="104" t="s">
        <v>740</v>
      </c>
      <c r="E36" s="104"/>
      <c r="F36" s="109"/>
      <c r="G36" s="109"/>
      <c r="H36" s="104"/>
    </row>
    <row r="37" spans="1:8" ht="37.5">
      <c r="A37" s="154" t="s">
        <v>531</v>
      </c>
      <c r="B37" s="130" t="s">
        <v>500</v>
      </c>
      <c r="C37" s="104"/>
      <c r="D37" s="104" t="s">
        <v>603</v>
      </c>
      <c r="E37" s="110"/>
      <c r="F37" s="109">
        <v>2</v>
      </c>
      <c r="G37" s="109"/>
      <c r="H37" s="106"/>
    </row>
    <row r="38" spans="1:8" ht="75">
      <c r="A38" s="154"/>
      <c r="B38" s="103" t="s">
        <v>127</v>
      </c>
      <c r="C38" s="106"/>
      <c r="D38" s="106" t="s">
        <v>604</v>
      </c>
      <c r="E38" s="106" t="s">
        <v>219</v>
      </c>
      <c r="F38" s="109">
        <v>2</v>
      </c>
      <c r="G38" s="109"/>
      <c r="H38" s="106"/>
    </row>
    <row r="39" spans="1:8">
      <c r="A39" s="154" t="s">
        <v>532</v>
      </c>
      <c r="B39" s="109" t="s">
        <v>502</v>
      </c>
      <c r="C39" s="158" t="s">
        <v>533</v>
      </c>
      <c r="D39" s="104" t="s">
        <v>605</v>
      </c>
      <c r="E39" s="104"/>
      <c r="F39" s="109">
        <v>1</v>
      </c>
      <c r="G39" s="109"/>
      <c r="H39" s="104"/>
    </row>
    <row r="40" spans="1:8">
      <c r="A40" s="154"/>
      <c r="B40" s="109" t="s">
        <v>506</v>
      </c>
      <c r="C40" s="159"/>
      <c r="D40" s="104" t="s">
        <v>606</v>
      </c>
      <c r="E40" s="104"/>
      <c r="F40" s="109">
        <v>1</v>
      </c>
      <c r="G40" s="109"/>
      <c r="H40" s="104"/>
    </row>
    <row r="41" spans="1:8">
      <c r="A41" s="154"/>
      <c r="B41" s="109" t="s">
        <v>511</v>
      </c>
      <c r="C41" s="159"/>
      <c r="D41" s="104" t="s">
        <v>607</v>
      </c>
      <c r="E41" s="104"/>
      <c r="F41" s="109">
        <v>1</v>
      </c>
      <c r="G41" s="109"/>
      <c r="H41" s="104"/>
    </row>
    <row r="42" spans="1:8">
      <c r="A42" s="154"/>
      <c r="B42" s="109" t="s">
        <v>507</v>
      </c>
      <c r="C42" s="160"/>
      <c r="D42" s="104" t="s">
        <v>608</v>
      </c>
      <c r="E42" s="104"/>
      <c r="F42" s="109">
        <v>1</v>
      </c>
      <c r="G42" s="109"/>
      <c r="H42" s="104"/>
    </row>
    <row r="43" spans="1:8" ht="37.5">
      <c r="A43" s="154" t="s">
        <v>517</v>
      </c>
      <c r="B43" s="109" t="s">
        <v>505</v>
      </c>
      <c r="D43" s="104" t="s">
        <v>609</v>
      </c>
      <c r="E43" s="104"/>
      <c r="F43" s="109">
        <v>1</v>
      </c>
      <c r="G43" s="109"/>
      <c r="H43" s="104"/>
    </row>
    <row r="44" spans="1:8" ht="56.25">
      <c r="A44" s="154"/>
      <c r="B44" s="109" t="s">
        <v>515</v>
      </c>
      <c r="D44" s="104" t="s">
        <v>610</v>
      </c>
      <c r="E44" s="104" t="s">
        <v>668</v>
      </c>
      <c r="F44" s="109">
        <v>1</v>
      </c>
      <c r="G44" s="109"/>
      <c r="H44" s="104"/>
    </row>
    <row r="45" spans="1:8" ht="75">
      <c r="A45" s="154"/>
      <c r="B45" s="109" t="s">
        <v>512</v>
      </c>
      <c r="D45" s="104" t="s">
        <v>680</v>
      </c>
      <c r="E45" s="104"/>
      <c r="F45" s="109">
        <v>1</v>
      </c>
      <c r="G45" s="109"/>
      <c r="H45" s="104"/>
    </row>
    <row r="46" spans="1:8">
      <c r="A46" s="154" t="s">
        <v>523</v>
      </c>
      <c r="B46" s="109" t="s">
        <v>516</v>
      </c>
      <c r="D46" s="104" t="s">
        <v>611</v>
      </c>
      <c r="E46" s="104" t="s">
        <v>667</v>
      </c>
      <c r="F46" s="109">
        <v>1</v>
      </c>
      <c r="G46" s="109"/>
      <c r="H46" s="104"/>
    </row>
    <row r="47" spans="1:8">
      <c r="A47" s="154"/>
      <c r="B47" s="109" t="s">
        <v>518</v>
      </c>
      <c r="D47" s="104" t="s">
        <v>611</v>
      </c>
      <c r="E47" s="104"/>
      <c r="F47" s="109">
        <v>1</v>
      </c>
      <c r="G47" s="109"/>
      <c r="H47" s="104"/>
    </row>
    <row r="48" spans="1:8" ht="168.75">
      <c r="A48" s="154"/>
      <c r="B48" s="109" t="s">
        <v>519</v>
      </c>
      <c r="D48" s="104" t="s">
        <v>536</v>
      </c>
      <c r="E48" s="104" t="s">
        <v>669</v>
      </c>
      <c r="F48" s="109">
        <v>2</v>
      </c>
      <c r="G48" s="109"/>
      <c r="H48" s="104"/>
    </row>
    <row r="49" spans="1:9" ht="243.75">
      <c r="A49" s="180" t="s">
        <v>539</v>
      </c>
      <c r="B49" s="119" t="s">
        <v>21</v>
      </c>
      <c r="C49" s="119"/>
      <c r="D49" s="120" t="s">
        <v>22</v>
      </c>
      <c r="E49" s="120" t="s">
        <v>128</v>
      </c>
      <c r="F49" s="109">
        <v>1</v>
      </c>
      <c r="G49" s="109"/>
      <c r="H49" s="104"/>
    </row>
    <row r="50" spans="1:9" ht="75">
      <c r="A50" s="180"/>
      <c r="B50" s="119" t="s">
        <v>23</v>
      </c>
      <c r="C50" s="122" t="s">
        <v>17</v>
      </c>
      <c r="D50" s="120" t="s">
        <v>220</v>
      </c>
      <c r="E50" s="120" t="s">
        <v>221</v>
      </c>
      <c r="F50" s="109">
        <v>1</v>
      </c>
      <c r="G50" s="109"/>
      <c r="H50" s="104"/>
    </row>
    <row r="51" spans="1:9" ht="56.25">
      <c r="A51" s="180"/>
      <c r="B51" s="119" t="s">
        <v>24</v>
      </c>
      <c r="C51" s="119"/>
      <c r="D51" s="120" t="s">
        <v>612</v>
      </c>
      <c r="E51" s="120" t="s">
        <v>221</v>
      </c>
      <c r="F51" s="109">
        <v>1</v>
      </c>
      <c r="G51" s="109"/>
      <c r="H51" s="104"/>
    </row>
    <row r="52" spans="1:9" ht="75">
      <c r="A52" s="132"/>
      <c r="B52" s="109" t="s">
        <v>520</v>
      </c>
      <c r="C52" s="104" t="s">
        <v>534</v>
      </c>
      <c r="D52" s="104" t="s">
        <v>613</v>
      </c>
      <c r="E52" s="104"/>
      <c r="F52" s="109">
        <v>1</v>
      </c>
      <c r="G52" s="109"/>
      <c r="H52" s="104"/>
    </row>
    <row r="53" spans="1:9">
      <c r="A53" s="132"/>
      <c r="B53" s="109" t="s">
        <v>504</v>
      </c>
      <c r="C53" s="132"/>
      <c r="D53" s="104" t="s">
        <v>535</v>
      </c>
      <c r="E53" s="79" t="s">
        <v>675</v>
      </c>
      <c r="F53" s="109">
        <v>2</v>
      </c>
      <c r="G53" s="109"/>
      <c r="H53" s="104"/>
    </row>
    <row r="54" spans="1:9" ht="37.5">
      <c r="A54" s="154" t="s">
        <v>540</v>
      </c>
      <c r="B54" s="109" t="s">
        <v>521</v>
      </c>
      <c r="D54" s="104" t="s">
        <v>541</v>
      </c>
      <c r="E54" s="104"/>
      <c r="F54" s="109">
        <v>1</v>
      </c>
      <c r="G54" s="109"/>
      <c r="H54" s="104"/>
    </row>
    <row r="55" spans="1:9" ht="112.5">
      <c r="A55" s="154"/>
      <c r="B55" s="119" t="s">
        <v>129</v>
      </c>
      <c r="C55" s="121"/>
      <c r="D55" s="120" t="s">
        <v>237</v>
      </c>
      <c r="E55" s="120" t="s">
        <v>132</v>
      </c>
      <c r="F55" s="109">
        <v>1</v>
      </c>
      <c r="G55" s="109"/>
      <c r="H55" s="121"/>
    </row>
    <row r="56" spans="1:9" ht="37.5">
      <c r="A56" s="154" t="s">
        <v>614</v>
      </c>
      <c r="B56" s="109" t="s">
        <v>524</v>
      </c>
      <c r="C56" s="104"/>
      <c r="D56" s="104" t="s">
        <v>615</v>
      </c>
      <c r="E56" s="104"/>
      <c r="F56" s="109">
        <v>1</v>
      </c>
      <c r="G56" s="109"/>
      <c r="H56" s="104"/>
      <c r="I56" s="118"/>
    </row>
    <row r="57" spans="1:9" ht="168.75">
      <c r="A57" s="154"/>
      <c r="B57" s="119" t="s">
        <v>303</v>
      </c>
      <c r="C57" s="122" t="s">
        <v>17</v>
      </c>
      <c r="D57" s="121" t="s">
        <v>304</v>
      </c>
      <c r="E57" s="121" t="s">
        <v>302</v>
      </c>
      <c r="F57" s="109">
        <v>1</v>
      </c>
      <c r="G57" s="109"/>
      <c r="H57" s="121"/>
    </row>
    <row r="58" spans="1:9" ht="37.5">
      <c r="A58" s="130"/>
      <c r="B58" s="119" t="s">
        <v>542</v>
      </c>
      <c r="C58" s="104"/>
      <c r="D58" s="104" t="s">
        <v>543</v>
      </c>
      <c r="E58" s="121"/>
      <c r="F58" s="109">
        <v>1</v>
      </c>
      <c r="G58" s="109"/>
      <c r="H58" s="104"/>
      <c r="I58" s="117"/>
    </row>
    <row r="59" spans="1:9" ht="112.5">
      <c r="A59" s="154" t="s">
        <v>544</v>
      </c>
      <c r="B59" s="110" t="s">
        <v>14</v>
      </c>
      <c r="C59" s="106"/>
      <c r="D59" s="106" t="s">
        <v>15</v>
      </c>
      <c r="E59" s="106" t="s">
        <v>16</v>
      </c>
      <c r="F59" s="109">
        <v>2</v>
      </c>
      <c r="G59" s="109"/>
      <c r="H59" s="104"/>
      <c r="I59" s="117"/>
    </row>
    <row r="60" spans="1:9" ht="56.25">
      <c r="A60" s="154"/>
      <c r="B60" s="110" t="s">
        <v>48</v>
      </c>
      <c r="C60" s="103"/>
      <c r="D60" s="106" t="s">
        <v>49</v>
      </c>
      <c r="E60" s="105" t="s">
        <v>50</v>
      </c>
      <c r="F60" s="109">
        <v>3</v>
      </c>
      <c r="G60" s="109"/>
      <c r="H60" s="104"/>
    </row>
    <row r="61" spans="1:9" ht="37.5">
      <c r="A61" s="154"/>
      <c r="B61" s="109" t="s">
        <v>211</v>
      </c>
      <c r="C61" s="104"/>
      <c r="D61" s="104" t="s">
        <v>212</v>
      </c>
      <c r="E61" s="104"/>
      <c r="F61" s="109">
        <v>2</v>
      </c>
      <c r="G61" s="109"/>
      <c r="H61" s="104"/>
    </row>
    <row r="62" spans="1:9">
      <c r="A62" s="154"/>
      <c r="B62" s="109" t="s">
        <v>545</v>
      </c>
      <c r="C62" s="104"/>
      <c r="D62" s="104" t="s">
        <v>546</v>
      </c>
      <c r="E62" s="104"/>
      <c r="F62" s="109">
        <v>2</v>
      </c>
      <c r="G62" s="109"/>
      <c r="H62" s="104"/>
    </row>
    <row r="63" spans="1:9">
      <c r="A63" s="154"/>
      <c r="B63" s="109" t="s">
        <v>547</v>
      </c>
      <c r="C63" s="104"/>
      <c r="D63" s="104" t="s">
        <v>549</v>
      </c>
      <c r="E63" s="104"/>
      <c r="F63" s="109">
        <v>3</v>
      </c>
      <c r="G63" s="109"/>
      <c r="H63" s="104"/>
    </row>
    <row r="64" spans="1:9" ht="37.5">
      <c r="A64" s="154"/>
      <c r="B64" s="109" t="s">
        <v>548</v>
      </c>
      <c r="C64" s="104"/>
      <c r="D64" s="104" t="s">
        <v>551</v>
      </c>
      <c r="E64" s="104" t="s">
        <v>677</v>
      </c>
      <c r="F64" s="109">
        <v>1</v>
      </c>
      <c r="G64" s="109"/>
      <c r="H64" s="104"/>
    </row>
    <row r="65" spans="1:9" ht="26.25">
      <c r="A65" s="176" t="s">
        <v>538</v>
      </c>
      <c r="B65" s="177"/>
      <c r="C65" s="177"/>
      <c r="D65" s="177"/>
      <c r="E65" s="177"/>
      <c r="F65" s="177"/>
      <c r="G65" s="177"/>
      <c r="H65" s="178"/>
      <c r="I65" s="82" t="s">
        <v>659</v>
      </c>
    </row>
    <row r="66" spans="1:9" ht="131.25">
      <c r="A66" s="115"/>
      <c r="B66" s="103" t="s">
        <v>9</v>
      </c>
      <c r="C66" s="104"/>
      <c r="D66" s="105" t="s">
        <v>679</v>
      </c>
      <c r="E66" s="105" t="s">
        <v>125</v>
      </c>
      <c r="F66" s="103">
        <v>1</v>
      </c>
      <c r="G66" s="103"/>
      <c r="H66" s="105"/>
    </row>
    <row r="67" spans="1:9" ht="37.5">
      <c r="A67" s="115"/>
      <c r="B67" s="103" t="s">
        <v>10</v>
      </c>
      <c r="C67" s="104"/>
      <c r="D67" s="105" t="s">
        <v>11</v>
      </c>
      <c r="E67" s="105" t="s">
        <v>125</v>
      </c>
      <c r="F67" s="103">
        <v>1</v>
      </c>
      <c r="G67" s="103"/>
      <c r="H67" s="105"/>
      <c r="I67" s="117"/>
    </row>
    <row r="68" spans="1:9" s="118" customFormat="1" ht="93.75">
      <c r="A68" s="115"/>
      <c r="B68" s="103" t="s">
        <v>12</v>
      </c>
      <c r="C68" s="104"/>
      <c r="D68" s="105" t="s">
        <v>209</v>
      </c>
      <c r="E68" s="105" t="s">
        <v>210</v>
      </c>
      <c r="F68" s="103">
        <v>1</v>
      </c>
      <c r="G68" s="103"/>
      <c r="H68" s="105"/>
      <c r="I68" s="117"/>
    </row>
    <row r="69" spans="1:9">
      <c r="A69" s="115"/>
      <c r="B69" s="103" t="s">
        <v>682</v>
      </c>
      <c r="C69" s="104"/>
      <c r="D69" s="105" t="s">
        <v>683</v>
      </c>
      <c r="E69" s="105"/>
      <c r="F69" s="103"/>
      <c r="G69" s="103"/>
      <c r="H69" s="105"/>
      <c r="I69" s="117"/>
    </row>
    <row r="70" spans="1:9" s="117" customFormat="1">
      <c r="A70" s="109"/>
      <c r="B70" s="109" t="s">
        <v>552</v>
      </c>
      <c r="C70" s="104"/>
      <c r="D70" s="104" t="s">
        <v>550</v>
      </c>
      <c r="E70" s="104"/>
      <c r="F70" s="103">
        <v>1</v>
      </c>
      <c r="G70" s="103"/>
      <c r="H70" s="104"/>
    </row>
    <row r="71" spans="1:9" s="117" customFormat="1" ht="26.25">
      <c r="A71" s="176" t="s">
        <v>553</v>
      </c>
      <c r="B71" s="177"/>
      <c r="C71" s="177"/>
      <c r="D71" s="177"/>
      <c r="E71" s="177"/>
      <c r="F71" s="177"/>
      <c r="G71" s="177"/>
      <c r="H71" s="177"/>
      <c r="I71" s="82" t="s">
        <v>659</v>
      </c>
    </row>
    <row r="72" spans="1:9" ht="37.5">
      <c r="A72" s="109"/>
      <c r="B72" s="109" t="s">
        <v>554</v>
      </c>
      <c r="C72" s="104"/>
      <c r="D72" s="104" t="s">
        <v>678</v>
      </c>
      <c r="E72" s="104"/>
      <c r="F72" s="109">
        <v>1</v>
      </c>
      <c r="G72" s="109"/>
      <c r="H72" s="104"/>
    </row>
    <row r="73" spans="1:9" ht="206.25">
      <c r="A73" s="119" t="s">
        <v>730</v>
      </c>
      <c r="B73" s="6" t="s">
        <v>731</v>
      </c>
      <c r="C73" s="12"/>
      <c r="D73" s="16" t="s">
        <v>732</v>
      </c>
      <c r="E73" s="3" t="s">
        <v>733</v>
      </c>
      <c r="F73" s="109"/>
      <c r="G73" s="109"/>
      <c r="H73" s="104"/>
    </row>
    <row r="74" spans="1:9" ht="112.5">
      <c r="A74" s="132"/>
      <c r="B74" s="6" t="s">
        <v>226</v>
      </c>
      <c r="C74" s="12"/>
      <c r="D74" s="16" t="s">
        <v>681</v>
      </c>
      <c r="E74" s="3" t="s">
        <v>227</v>
      </c>
      <c r="F74" s="6">
        <v>1</v>
      </c>
      <c r="G74" s="6"/>
      <c r="H74" s="104"/>
    </row>
    <row r="75" spans="1:9">
      <c r="A75" s="109"/>
      <c r="B75" s="109" t="s">
        <v>555</v>
      </c>
      <c r="C75" s="104"/>
      <c r="D75" s="158" t="s">
        <v>616</v>
      </c>
      <c r="E75" s="104"/>
      <c r="F75" s="109">
        <v>1</v>
      </c>
      <c r="G75" s="109"/>
      <c r="H75" s="104"/>
    </row>
    <row r="76" spans="1:9">
      <c r="A76" s="109"/>
      <c r="B76" s="109" t="s">
        <v>556</v>
      </c>
      <c r="C76" s="104"/>
      <c r="D76" s="160"/>
      <c r="E76" s="104"/>
      <c r="F76" s="109">
        <v>1</v>
      </c>
      <c r="G76" s="109"/>
      <c r="H76" s="104"/>
    </row>
    <row r="77" spans="1:9" ht="75">
      <c r="A77" s="115"/>
      <c r="B77" s="103" t="s">
        <v>13</v>
      </c>
      <c r="C77" s="104"/>
      <c r="D77" s="105" t="s">
        <v>126</v>
      </c>
      <c r="E77" s="105" t="s">
        <v>218</v>
      </c>
      <c r="F77" s="109">
        <v>1</v>
      </c>
      <c r="G77" s="109"/>
      <c r="H77" s="106"/>
    </row>
    <row r="78" spans="1:9" ht="300">
      <c r="A78" s="115"/>
      <c r="B78" s="119" t="s">
        <v>33</v>
      </c>
      <c r="C78" s="123" t="s">
        <v>239</v>
      </c>
      <c r="D78" s="120" t="s">
        <v>617</v>
      </c>
      <c r="E78" s="120" t="s">
        <v>223</v>
      </c>
      <c r="F78" s="109">
        <v>1</v>
      </c>
      <c r="G78" s="109"/>
      <c r="H78" s="120"/>
      <c r="I78" s="117"/>
    </row>
    <row r="79" spans="1:9" ht="93.75">
      <c r="A79" s="115"/>
      <c r="B79" s="119" t="s">
        <v>734</v>
      </c>
      <c r="C79" s="119" t="s">
        <v>735</v>
      </c>
      <c r="D79" s="120" t="s">
        <v>736</v>
      </c>
      <c r="E79" s="120" t="s">
        <v>737</v>
      </c>
      <c r="F79" s="109"/>
      <c r="G79" s="109"/>
      <c r="H79" s="120"/>
      <c r="I79" s="117"/>
    </row>
    <row r="80" spans="1:9" ht="37.5">
      <c r="A80" s="115"/>
      <c r="B80" s="119" t="s">
        <v>34</v>
      </c>
      <c r="C80" s="119"/>
      <c r="D80" s="120" t="s">
        <v>137</v>
      </c>
      <c r="E80" s="120" t="s">
        <v>136</v>
      </c>
      <c r="F80" s="109">
        <v>2</v>
      </c>
      <c r="G80" s="109"/>
      <c r="H80" s="120"/>
      <c r="I80" s="117"/>
    </row>
    <row r="81" spans="1:9" ht="112.5">
      <c r="A81" s="115"/>
      <c r="B81" s="119" t="s">
        <v>691</v>
      </c>
      <c r="C81" s="119" t="s">
        <v>692</v>
      </c>
      <c r="D81" s="120" t="s">
        <v>693</v>
      </c>
      <c r="E81" s="120" t="s">
        <v>694</v>
      </c>
      <c r="F81" s="109"/>
      <c r="G81" s="109"/>
      <c r="H81" s="120"/>
      <c r="I81" s="117"/>
    </row>
    <row r="82" spans="1:9" s="117" customFormat="1" ht="19.5" thickBot="1">
      <c r="A82" s="115"/>
      <c r="B82" s="119" t="s">
        <v>561</v>
      </c>
      <c r="C82" s="119"/>
      <c r="D82" s="120" t="s">
        <v>562</v>
      </c>
      <c r="E82" s="120"/>
      <c r="F82" s="109">
        <v>1</v>
      </c>
      <c r="G82" s="109"/>
      <c r="H82" s="120"/>
    </row>
    <row r="83" spans="1:9" s="117" customFormat="1" ht="26.25">
      <c r="A83" s="179" t="s">
        <v>656</v>
      </c>
      <c r="B83" s="164"/>
      <c r="C83" s="164"/>
      <c r="D83" s="164"/>
      <c r="E83" s="164"/>
      <c r="F83" s="164"/>
      <c r="G83" s="164"/>
      <c r="H83" s="164"/>
      <c r="I83" s="82" t="s">
        <v>659</v>
      </c>
    </row>
    <row r="84" spans="1:9" s="117" customFormat="1" ht="75">
      <c r="A84" s="132"/>
      <c r="B84" s="103" t="s">
        <v>35</v>
      </c>
      <c r="C84" s="129" t="s">
        <v>17</v>
      </c>
      <c r="D84" s="105" t="s">
        <v>36</v>
      </c>
      <c r="E84" s="103" t="s">
        <v>37</v>
      </c>
      <c r="F84" s="103">
        <v>1</v>
      </c>
      <c r="G84" s="103"/>
      <c r="H84" s="120"/>
      <c r="I84" s="102"/>
    </row>
    <row r="85" spans="1:9" s="117" customFormat="1" ht="131.25">
      <c r="A85" s="132"/>
      <c r="B85" s="131" t="s">
        <v>38</v>
      </c>
      <c r="C85" s="129" t="s">
        <v>17</v>
      </c>
      <c r="D85" s="114" t="s">
        <v>39</v>
      </c>
      <c r="E85" s="103" t="s">
        <v>138</v>
      </c>
      <c r="F85" s="103">
        <v>1</v>
      </c>
      <c r="G85" s="103"/>
      <c r="H85" s="120"/>
      <c r="I85" s="102"/>
    </row>
    <row r="86" spans="1:9" ht="37.5">
      <c r="A86" s="132"/>
      <c r="B86" s="103" t="s">
        <v>40</v>
      </c>
      <c r="C86" s="105"/>
      <c r="D86" s="105" t="s">
        <v>41</v>
      </c>
      <c r="E86" s="103" t="s">
        <v>42</v>
      </c>
      <c r="F86" s="103">
        <v>1</v>
      </c>
      <c r="G86" s="103"/>
      <c r="H86" s="120"/>
    </row>
    <row r="87" spans="1:9" ht="112.5">
      <c r="A87" s="132"/>
      <c r="B87" s="103" t="s">
        <v>139</v>
      </c>
      <c r="C87" s="105"/>
      <c r="D87" s="105" t="s">
        <v>43</v>
      </c>
      <c r="E87" s="103" t="s">
        <v>44</v>
      </c>
      <c r="F87" s="103">
        <v>1</v>
      </c>
      <c r="G87" s="103"/>
      <c r="H87" s="120"/>
    </row>
    <row r="88" spans="1:9" ht="56.25">
      <c r="A88" s="132"/>
      <c r="B88" s="103" t="s">
        <v>45</v>
      </c>
      <c r="C88" s="129" t="s">
        <v>17</v>
      </c>
      <c r="D88" s="105" t="s">
        <v>657</v>
      </c>
      <c r="E88" s="103" t="s">
        <v>224</v>
      </c>
      <c r="F88" s="103">
        <v>1</v>
      </c>
      <c r="G88" s="103"/>
      <c r="H88" s="120"/>
    </row>
    <row r="89" spans="1:9" ht="262.5">
      <c r="A89" s="132"/>
      <c r="B89" s="103" t="s">
        <v>46</v>
      </c>
      <c r="C89" s="129" t="s">
        <v>17</v>
      </c>
      <c r="D89" s="105" t="s">
        <v>658</v>
      </c>
      <c r="E89" s="103" t="s">
        <v>47</v>
      </c>
      <c r="F89" s="103">
        <v>1</v>
      </c>
      <c r="G89" s="103"/>
      <c r="H89" s="120"/>
    </row>
    <row r="90" spans="1:9" ht="26.25">
      <c r="A90" s="163" t="s">
        <v>684</v>
      </c>
      <c r="B90" s="163"/>
      <c r="C90" s="163"/>
      <c r="D90" s="163"/>
      <c r="E90" s="163"/>
      <c r="F90" s="163"/>
      <c r="G90" s="163"/>
      <c r="H90" s="163"/>
      <c r="I90" s="82" t="s">
        <v>659</v>
      </c>
    </row>
    <row r="91" spans="1:9" ht="187.5">
      <c r="A91" s="122" t="s">
        <v>17</v>
      </c>
      <c r="B91" s="116" t="s">
        <v>149</v>
      </c>
      <c r="C91" s="124" t="s">
        <v>622</v>
      </c>
      <c r="D91" s="125" t="s">
        <v>236</v>
      </c>
      <c r="E91" s="106" t="s">
        <v>216</v>
      </c>
      <c r="F91" s="116">
        <v>1</v>
      </c>
      <c r="G91" s="116"/>
      <c r="H91" s="120"/>
    </row>
    <row r="92" spans="1:9" s="117" customFormat="1" ht="56.25">
      <c r="A92" s="115"/>
      <c r="B92" s="119" t="s">
        <v>18</v>
      </c>
      <c r="C92" s="119"/>
      <c r="D92" s="120" t="s">
        <v>19</v>
      </c>
      <c r="E92" s="120" t="s">
        <v>130</v>
      </c>
      <c r="F92" s="116">
        <v>1</v>
      </c>
      <c r="G92" s="116"/>
      <c r="H92" s="120"/>
      <c r="I92" s="102"/>
    </row>
    <row r="93" spans="1:9" s="117" customFormat="1" ht="93.75">
      <c r="A93" s="115"/>
      <c r="B93" s="119" t="s">
        <v>20</v>
      </c>
      <c r="C93" s="119"/>
      <c r="D93" s="120" t="s">
        <v>623</v>
      </c>
      <c r="E93" s="120" t="s">
        <v>131</v>
      </c>
      <c r="F93" s="116">
        <v>3</v>
      </c>
      <c r="G93" s="116"/>
      <c r="H93" s="121"/>
    </row>
    <row r="94" spans="1:9" s="117" customFormat="1" ht="56.25">
      <c r="A94" s="115"/>
      <c r="B94" s="126" t="s">
        <v>25</v>
      </c>
      <c r="C94" s="122" t="s">
        <v>17</v>
      </c>
      <c r="D94" s="127" t="s">
        <v>624</v>
      </c>
      <c r="E94" s="120" t="s">
        <v>222</v>
      </c>
      <c r="F94" s="116">
        <v>1</v>
      </c>
      <c r="G94" s="116"/>
      <c r="H94" s="121"/>
    </row>
    <row r="95" spans="1:9" s="117" customFormat="1" ht="37.5">
      <c r="A95" s="115"/>
      <c r="B95" s="110" t="s">
        <v>28</v>
      </c>
      <c r="C95" s="128"/>
      <c r="D95" s="106" t="s">
        <v>625</v>
      </c>
      <c r="E95" s="114"/>
      <c r="F95" s="116">
        <v>1</v>
      </c>
      <c r="G95" s="116"/>
      <c r="H95" s="121"/>
    </row>
    <row r="96" spans="1:9">
      <c r="A96" s="115"/>
      <c r="B96" s="110" t="s">
        <v>564</v>
      </c>
      <c r="C96" s="128"/>
      <c r="D96" s="173" t="s">
        <v>626</v>
      </c>
      <c r="E96" s="114"/>
      <c r="F96" s="116">
        <v>1</v>
      </c>
      <c r="G96" s="116"/>
      <c r="H96" s="106"/>
      <c r="I96" s="117"/>
    </row>
    <row r="97" spans="1:9">
      <c r="A97" s="115"/>
      <c r="B97" s="110" t="s">
        <v>565</v>
      </c>
      <c r="C97" s="128"/>
      <c r="D97" s="174"/>
      <c r="E97" s="114"/>
      <c r="F97" s="116">
        <v>1</v>
      </c>
      <c r="G97" s="116"/>
      <c r="H97" s="106"/>
      <c r="I97" s="117"/>
    </row>
    <row r="98" spans="1:9">
      <c r="A98" s="115"/>
      <c r="B98" s="110" t="s">
        <v>566</v>
      </c>
      <c r="C98" s="128"/>
      <c r="D98" s="174"/>
      <c r="E98" s="114"/>
      <c r="F98" s="116">
        <v>1</v>
      </c>
      <c r="G98" s="116"/>
      <c r="H98" s="106"/>
      <c r="I98" s="117"/>
    </row>
    <row r="99" spans="1:9">
      <c r="A99" s="115"/>
      <c r="B99" s="110" t="s">
        <v>567</v>
      </c>
      <c r="C99" s="128"/>
      <c r="D99" s="174"/>
      <c r="E99" s="114"/>
      <c r="F99" s="116">
        <v>1</v>
      </c>
      <c r="G99" s="116"/>
      <c r="H99" s="106"/>
      <c r="I99" s="117"/>
    </row>
    <row r="100" spans="1:9">
      <c r="A100" s="115"/>
      <c r="B100" s="110">
        <v>301</v>
      </c>
      <c r="C100" s="128"/>
      <c r="D100" s="174"/>
      <c r="E100" s="114"/>
      <c r="F100" s="116">
        <v>1</v>
      </c>
      <c r="G100" s="116"/>
      <c r="H100" s="121"/>
      <c r="I100" s="117"/>
    </row>
    <row r="101" spans="1:9">
      <c r="A101" s="115"/>
      <c r="B101" s="110">
        <v>302</v>
      </c>
      <c r="C101" s="128"/>
      <c r="D101" s="175"/>
      <c r="E101" s="114"/>
      <c r="F101" s="116">
        <v>1</v>
      </c>
      <c r="G101" s="116"/>
      <c r="H101" s="106"/>
      <c r="I101" s="117"/>
    </row>
    <row r="102" spans="1:9">
      <c r="A102" s="115"/>
      <c r="B102" s="110" t="s">
        <v>568</v>
      </c>
      <c r="C102" s="128"/>
      <c r="D102" s="173" t="s">
        <v>627</v>
      </c>
      <c r="E102" s="114"/>
      <c r="F102" s="116">
        <v>2</v>
      </c>
      <c r="G102" s="116"/>
      <c r="H102" s="106"/>
      <c r="I102" s="117"/>
    </row>
    <row r="103" spans="1:9">
      <c r="A103" s="115"/>
      <c r="B103" s="110" t="s">
        <v>569</v>
      </c>
      <c r="C103" s="128"/>
      <c r="D103" s="175"/>
      <c r="E103" s="114"/>
      <c r="F103" s="116">
        <v>2</v>
      </c>
      <c r="G103" s="116"/>
      <c r="H103" s="106"/>
      <c r="I103" s="117"/>
    </row>
    <row r="104" spans="1:9" ht="37.5">
      <c r="A104" s="115"/>
      <c r="B104" s="110" t="s">
        <v>570</v>
      </c>
      <c r="C104" s="128"/>
      <c r="D104" s="106" t="s">
        <v>628</v>
      </c>
      <c r="E104" s="114"/>
      <c r="F104" s="116">
        <v>1</v>
      </c>
      <c r="G104" s="116"/>
      <c r="H104" s="106"/>
      <c r="I104" s="117"/>
    </row>
    <row r="105" spans="1:9" s="117" customFormat="1">
      <c r="A105" s="115"/>
      <c r="B105" s="110" t="s">
        <v>571</v>
      </c>
      <c r="C105" s="128"/>
      <c r="D105" s="106" t="s">
        <v>629</v>
      </c>
      <c r="E105" s="114"/>
      <c r="F105" s="116">
        <v>1</v>
      </c>
      <c r="G105" s="116"/>
      <c r="H105" s="106"/>
    </row>
    <row r="106" spans="1:9" s="117" customFormat="1" ht="37.5">
      <c r="A106" s="115"/>
      <c r="B106" s="110" t="s">
        <v>630</v>
      </c>
      <c r="C106" s="128"/>
      <c r="D106" s="106" t="s">
        <v>631</v>
      </c>
      <c r="E106" s="114"/>
      <c r="F106" s="116">
        <v>1</v>
      </c>
      <c r="G106" s="116"/>
      <c r="H106" s="106"/>
    </row>
    <row r="107" spans="1:9" s="117" customFormat="1">
      <c r="A107" s="115"/>
      <c r="B107" s="110" t="s">
        <v>572</v>
      </c>
      <c r="C107" s="128"/>
      <c r="D107" s="173" t="s">
        <v>632</v>
      </c>
      <c r="E107" s="114"/>
      <c r="F107" s="116">
        <v>1</v>
      </c>
      <c r="G107" s="116"/>
      <c r="H107" s="106"/>
    </row>
    <row r="108" spans="1:9" s="117" customFormat="1">
      <c r="A108" s="115"/>
      <c r="B108" s="110" t="s">
        <v>573</v>
      </c>
      <c r="C108" s="128"/>
      <c r="D108" s="175"/>
      <c r="E108" s="114"/>
      <c r="F108" s="116">
        <v>1</v>
      </c>
      <c r="G108" s="116"/>
      <c r="H108" s="106"/>
    </row>
    <row r="109" spans="1:9" s="117" customFormat="1">
      <c r="A109" s="115"/>
      <c r="B109" s="110" t="s">
        <v>574</v>
      </c>
      <c r="C109" s="128"/>
      <c r="D109" s="106" t="s">
        <v>633</v>
      </c>
      <c r="E109" s="114"/>
      <c r="F109" s="116">
        <v>1</v>
      </c>
      <c r="G109" s="116"/>
      <c r="H109" s="106"/>
    </row>
    <row r="110" spans="1:9" s="117" customFormat="1" ht="37.5">
      <c r="A110" s="115"/>
      <c r="B110" s="110" t="s">
        <v>575</v>
      </c>
      <c r="C110" s="128"/>
      <c r="D110" s="106" t="s">
        <v>634</v>
      </c>
      <c r="E110" s="114"/>
      <c r="F110" s="116">
        <v>1</v>
      </c>
      <c r="G110" s="116"/>
      <c r="H110" s="106"/>
    </row>
    <row r="111" spans="1:9" s="117" customFormat="1">
      <c r="A111" s="115"/>
      <c r="B111" s="110" t="s">
        <v>576</v>
      </c>
      <c r="C111" s="128"/>
      <c r="D111" s="106" t="s">
        <v>635</v>
      </c>
      <c r="E111" s="114"/>
      <c r="F111" s="116">
        <v>1</v>
      </c>
      <c r="G111" s="116"/>
      <c r="H111" s="106"/>
    </row>
    <row r="112" spans="1:9" s="117" customFormat="1">
      <c r="A112" s="115"/>
      <c r="B112" s="110" t="s">
        <v>577</v>
      </c>
      <c r="C112" s="128"/>
      <c r="D112" s="106" t="s">
        <v>636</v>
      </c>
      <c r="E112" s="114"/>
      <c r="F112" s="116">
        <v>1</v>
      </c>
      <c r="G112" s="116"/>
      <c r="H112" s="106"/>
    </row>
    <row r="113" spans="1:9" s="117" customFormat="1" ht="37.5">
      <c r="A113" s="115"/>
      <c r="B113" s="110" t="s">
        <v>578</v>
      </c>
      <c r="C113" s="128"/>
      <c r="D113" s="106" t="s">
        <v>637</v>
      </c>
      <c r="E113" s="114"/>
      <c r="F113" s="116">
        <v>1</v>
      </c>
      <c r="G113" s="116"/>
      <c r="H113" s="106"/>
    </row>
    <row r="114" spans="1:9" s="117" customFormat="1" ht="37.5">
      <c r="A114" s="115"/>
      <c r="B114" s="110" t="s">
        <v>579</v>
      </c>
      <c r="C114" s="128"/>
      <c r="D114" s="106" t="s">
        <v>638</v>
      </c>
      <c r="E114" s="114"/>
      <c r="F114" s="116">
        <v>1</v>
      </c>
      <c r="G114" s="116"/>
      <c r="H114" s="106"/>
    </row>
    <row r="115" spans="1:9" s="117" customFormat="1" ht="37.5">
      <c r="A115" s="115"/>
      <c r="B115" s="110" t="s">
        <v>580</v>
      </c>
      <c r="C115" s="128"/>
      <c r="D115" s="106" t="s">
        <v>639</v>
      </c>
      <c r="E115" s="114"/>
      <c r="F115" s="116">
        <v>1</v>
      </c>
      <c r="G115" s="116"/>
      <c r="H115" s="106"/>
    </row>
    <row r="116" spans="1:9" s="117" customFormat="1" ht="37.5">
      <c r="A116" s="115"/>
      <c r="B116" s="110" t="s">
        <v>581</v>
      </c>
      <c r="C116" s="128"/>
      <c r="D116" s="106" t="s">
        <v>640</v>
      </c>
      <c r="E116" s="114"/>
      <c r="F116" s="116">
        <v>1</v>
      </c>
      <c r="G116" s="116"/>
      <c r="H116" s="106"/>
    </row>
    <row r="117" spans="1:9" s="117" customFormat="1" ht="37.5">
      <c r="A117" s="115"/>
      <c r="B117" s="110" t="s">
        <v>582</v>
      </c>
      <c r="C117" s="128"/>
      <c r="D117" s="106" t="s">
        <v>638</v>
      </c>
      <c r="E117" s="114"/>
      <c r="F117" s="116">
        <v>1</v>
      </c>
      <c r="G117" s="116"/>
      <c r="H117" s="106"/>
    </row>
    <row r="118" spans="1:9" s="117" customFormat="1" ht="37.5">
      <c r="A118" s="115"/>
      <c r="B118" s="110" t="s">
        <v>583</v>
      </c>
      <c r="C118" s="128"/>
      <c r="D118" s="106" t="s">
        <v>639</v>
      </c>
      <c r="E118" s="114"/>
      <c r="F118" s="116">
        <v>1</v>
      </c>
      <c r="G118" s="116"/>
      <c r="H118" s="106"/>
    </row>
    <row r="119" spans="1:9" s="117" customFormat="1" ht="37.5">
      <c r="A119" s="115"/>
      <c r="B119" s="110" t="s">
        <v>584</v>
      </c>
      <c r="C119" s="128"/>
      <c r="D119" s="106" t="s">
        <v>640</v>
      </c>
      <c r="E119" s="114"/>
      <c r="F119" s="116">
        <v>1</v>
      </c>
      <c r="G119" s="116"/>
      <c r="H119" s="106"/>
    </row>
    <row r="120" spans="1:9" s="117" customFormat="1" ht="37.5">
      <c r="A120" s="115"/>
      <c r="B120" s="110" t="s">
        <v>585</v>
      </c>
      <c r="C120" s="128"/>
      <c r="D120" s="106" t="s">
        <v>641</v>
      </c>
      <c r="E120" s="114"/>
      <c r="F120" s="116">
        <v>2</v>
      </c>
      <c r="G120" s="116"/>
      <c r="H120" s="106"/>
    </row>
    <row r="121" spans="1:9" s="117" customFormat="1">
      <c r="A121" s="115"/>
      <c r="B121" s="110" t="s">
        <v>586</v>
      </c>
      <c r="C121" s="128"/>
      <c r="D121" s="106" t="s">
        <v>642</v>
      </c>
      <c r="E121" s="114"/>
      <c r="F121" s="116">
        <v>1</v>
      </c>
      <c r="G121" s="116"/>
      <c r="H121" s="106"/>
    </row>
    <row r="122" spans="1:9" s="117" customFormat="1">
      <c r="A122" s="115"/>
      <c r="B122" s="110" t="s">
        <v>587</v>
      </c>
      <c r="C122" s="128"/>
      <c r="D122" s="173" t="s">
        <v>643</v>
      </c>
      <c r="E122" s="114"/>
      <c r="F122" s="116">
        <v>2</v>
      </c>
      <c r="G122" s="116"/>
      <c r="H122" s="106"/>
    </row>
    <row r="123" spans="1:9" s="117" customFormat="1">
      <c r="A123" s="115"/>
      <c r="B123" s="110" t="s">
        <v>588</v>
      </c>
      <c r="C123" s="128"/>
      <c r="D123" s="174"/>
      <c r="E123" s="114"/>
      <c r="F123" s="116">
        <v>2</v>
      </c>
      <c r="G123" s="116"/>
      <c r="H123" s="106"/>
    </row>
    <row r="124" spans="1:9" s="117" customFormat="1">
      <c r="A124" s="115"/>
      <c r="B124" s="110" t="s">
        <v>589</v>
      </c>
      <c r="C124" s="128"/>
      <c r="D124" s="175"/>
      <c r="E124" s="114"/>
      <c r="F124" s="116">
        <v>2</v>
      </c>
      <c r="G124" s="116"/>
      <c r="H124" s="106"/>
    </row>
    <row r="125" spans="1:9" s="117" customFormat="1" ht="36">
      <c r="A125" s="186" t="s">
        <v>1</v>
      </c>
      <c r="B125" s="186"/>
      <c r="C125" s="186"/>
      <c r="D125" s="186"/>
      <c r="E125" s="186"/>
      <c r="F125" s="186"/>
      <c r="G125" s="186"/>
      <c r="H125" s="187"/>
      <c r="I125" s="82" t="s">
        <v>659</v>
      </c>
    </row>
    <row r="126" spans="1:9" s="117" customFormat="1">
      <c r="A126" s="183" t="s">
        <v>560</v>
      </c>
      <c r="B126" s="184"/>
      <c r="C126" s="184"/>
      <c r="D126" s="184"/>
      <c r="E126" s="184"/>
      <c r="F126" s="184"/>
      <c r="G126" s="184"/>
      <c r="H126" s="185"/>
      <c r="I126" s="102"/>
    </row>
    <row r="127" spans="1:9" s="117" customFormat="1" ht="26.25">
      <c r="A127" s="181" t="s">
        <v>55</v>
      </c>
      <c r="B127" s="181"/>
      <c r="C127" s="181"/>
      <c r="D127" s="181"/>
      <c r="E127" s="181"/>
      <c r="F127" s="181"/>
      <c r="G127" s="181"/>
      <c r="H127" s="182"/>
      <c r="I127" s="102"/>
    </row>
    <row r="128" spans="1:9" s="117" customFormat="1" ht="37.5">
      <c r="A128" s="132"/>
      <c r="B128" s="7" t="s">
        <v>57</v>
      </c>
      <c r="C128" s="4"/>
      <c r="D128" s="1" t="s">
        <v>140</v>
      </c>
      <c r="E128" s="1" t="s">
        <v>58</v>
      </c>
      <c r="F128" s="6">
        <v>1</v>
      </c>
      <c r="G128" s="6"/>
      <c r="H128" s="106"/>
      <c r="I128" s="102"/>
    </row>
    <row r="129" spans="1:40" s="117" customFormat="1" ht="187.5">
      <c r="A129" s="132"/>
      <c r="B129" s="6" t="s">
        <v>59</v>
      </c>
      <c r="C129" s="1"/>
      <c r="D129" s="1" t="s">
        <v>240</v>
      </c>
      <c r="E129" s="3" t="s">
        <v>225</v>
      </c>
      <c r="F129" s="6">
        <v>1</v>
      </c>
      <c r="G129" s="6"/>
      <c r="H129" s="106"/>
      <c r="I129" s="102"/>
    </row>
    <row r="130" spans="1:40" s="117" customFormat="1" ht="131.25">
      <c r="A130" s="132"/>
      <c r="B130" s="6" t="s">
        <v>60</v>
      </c>
      <c r="C130" s="1"/>
      <c r="D130" s="19" t="s">
        <v>271</v>
      </c>
      <c r="E130" s="19" t="s">
        <v>61</v>
      </c>
      <c r="F130" s="6">
        <v>2</v>
      </c>
      <c r="G130" s="6"/>
      <c r="H130" s="106"/>
      <c r="I130" s="102"/>
    </row>
    <row r="131" spans="1:40" s="117" customFormat="1" ht="56.25">
      <c r="A131" s="132"/>
      <c r="B131" s="6" t="s">
        <v>62</v>
      </c>
      <c r="C131" s="1"/>
      <c r="D131" s="1" t="s">
        <v>141</v>
      </c>
      <c r="E131" s="1" t="s">
        <v>63</v>
      </c>
      <c r="F131" s="6">
        <v>1</v>
      </c>
      <c r="G131" s="6"/>
      <c r="H131" s="106"/>
      <c r="I131" s="102"/>
    </row>
    <row r="132" spans="1:40" s="117" customFormat="1" ht="75">
      <c r="A132" s="132"/>
      <c r="B132" s="6" t="s">
        <v>64</v>
      </c>
      <c r="C132" s="27" t="s">
        <v>17</v>
      </c>
      <c r="D132" s="1" t="s">
        <v>142</v>
      </c>
      <c r="E132" s="1" t="s">
        <v>65</v>
      </c>
      <c r="F132" s="6">
        <v>1</v>
      </c>
      <c r="G132" s="6"/>
      <c r="H132" s="106"/>
      <c r="I132" s="102"/>
    </row>
    <row r="133" spans="1:40" s="117" customFormat="1" ht="75">
      <c r="A133" s="132"/>
      <c r="B133" s="7" t="s">
        <v>66</v>
      </c>
      <c r="C133" s="27" t="s">
        <v>17</v>
      </c>
      <c r="D133" s="1" t="s">
        <v>67</v>
      </c>
      <c r="E133" s="1" t="s">
        <v>68</v>
      </c>
      <c r="F133" s="6">
        <v>1</v>
      </c>
      <c r="G133" s="6"/>
      <c r="H133" s="106"/>
      <c r="I133" s="102"/>
    </row>
    <row r="134" spans="1:40" s="117" customFormat="1" ht="37.5">
      <c r="A134" s="132"/>
      <c r="B134" s="5" t="s">
        <v>69</v>
      </c>
      <c r="C134" s="6"/>
      <c r="D134" s="43" t="s">
        <v>143</v>
      </c>
      <c r="E134" s="3" t="s">
        <v>70</v>
      </c>
      <c r="F134" s="6">
        <v>1</v>
      </c>
      <c r="G134" s="6"/>
      <c r="H134" s="106"/>
      <c r="I134" s="102"/>
    </row>
    <row r="135" spans="1:40" s="117" customFormat="1" ht="37.5">
      <c r="A135" s="132"/>
      <c r="B135" s="5" t="s">
        <v>71</v>
      </c>
      <c r="C135" s="6"/>
      <c r="D135" s="4" t="s">
        <v>72</v>
      </c>
      <c r="E135" s="3" t="s">
        <v>73</v>
      </c>
      <c r="F135" s="6">
        <v>1</v>
      </c>
      <c r="G135" s="6"/>
      <c r="H135" s="106"/>
      <c r="I135" s="102"/>
    </row>
    <row r="136" spans="1:40" s="117" customFormat="1" ht="56.25">
      <c r="A136" s="132"/>
      <c r="B136" s="6" t="s">
        <v>74</v>
      </c>
      <c r="C136" s="6"/>
      <c r="D136" s="1" t="s">
        <v>75</v>
      </c>
      <c r="E136" s="3" t="s">
        <v>76</v>
      </c>
      <c r="F136" s="6">
        <v>2</v>
      </c>
      <c r="G136" s="6"/>
      <c r="H136" s="106"/>
      <c r="I136" s="102"/>
    </row>
    <row r="137" spans="1:40" s="117" customFormat="1" ht="37.5">
      <c r="A137" s="132"/>
      <c r="B137" s="5" t="s">
        <v>77</v>
      </c>
      <c r="C137" s="20" t="s">
        <v>17</v>
      </c>
      <c r="D137" s="4" t="s">
        <v>78</v>
      </c>
      <c r="E137" s="3" t="s">
        <v>79</v>
      </c>
      <c r="F137" s="6">
        <v>1</v>
      </c>
      <c r="G137" s="6"/>
      <c r="H137" s="106"/>
      <c r="I137" s="102"/>
    </row>
    <row r="138" spans="1:40" ht="93.75">
      <c r="A138" s="132"/>
      <c r="B138" s="5" t="s">
        <v>80</v>
      </c>
      <c r="C138" s="6" t="s">
        <v>649</v>
      </c>
      <c r="D138" s="4" t="s">
        <v>144</v>
      </c>
      <c r="E138" s="26" t="s">
        <v>81</v>
      </c>
      <c r="F138" s="6">
        <v>1</v>
      </c>
      <c r="G138" s="6"/>
      <c r="H138" s="106"/>
    </row>
    <row r="139" spans="1:40" s="110" customFormat="1" ht="206.25">
      <c r="A139" s="132"/>
      <c r="B139" s="5" t="s">
        <v>82</v>
      </c>
      <c r="C139" s="20" t="s">
        <v>17</v>
      </c>
      <c r="D139" s="4" t="s">
        <v>83</v>
      </c>
      <c r="E139" s="4" t="s">
        <v>84</v>
      </c>
      <c r="F139" s="6">
        <v>2</v>
      </c>
      <c r="G139" s="6"/>
      <c r="H139" s="106"/>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row>
    <row r="140" spans="1:40" ht="281.25">
      <c r="A140" s="132"/>
      <c r="B140" s="5" t="s">
        <v>85</v>
      </c>
      <c r="C140" s="20" t="s">
        <v>17</v>
      </c>
      <c r="D140" s="4" t="s">
        <v>83</v>
      </c>
      <c r="E140" s="4" t="s">
        <v>86</v>
      </c>
      <c r="F140" s="6">
        <v>2</v>
      </c>
      <c r="G140" s="6"/>
      <c r="H140" s="106"/>
    </row>
    <row r="141" spans="1:40" ht="56.25">
      <c r="A141" s="132"/>
      <c r="B141" s="5" t="s">
        <v>87</v>
      </c>
      <c r="C141" s="20" t="s">
        <v>17</v>
      </c>
      <c r="D141" s="4" t="s">
        <v>88</v>
      </c>
      <c r="E141" s="4"/>
      <c r="F141" s="6">
        <v>1</v>
      </c>
      <c r="G141" s="6"/>
      <c r="H141" s="106"/>
    </row>
    <row r="142" spans="1:40" ht="56.25">
      <c r="A142" s="132"/>
      <c r="B142" s="6" t="s">
        <v>305</v>
      </c>
      <c r="C142" s="6"/>
      <c r="D142" s="4" t="s">
        <v>306</v>
      </c>
      <c r="E142" s="4"/>
      <c r="F142" s="6">
        <v>1</v>
      </c>
      <c r="G142" s="6"/>
      <c r="H142" s="106"/>
    </row>
    <row r="143" spans="1:40" ht="37.5">
      <c r="A143" s="132"/>
      <c r="B143" s="6" t="s">
        <v>307</v>
      </c>
      <c r="C143" s="6"/>
      <c r="D143" s="4" t="s">
        <v>308</v>
      </c>
      <c r="E143" s="4"/>
      <c r="F143" s="6">
        <v>2</v>
      </c>
      <c r="G143" s="6"/>
      <c r="H143" s="106"/>
    </row>
    <row r="144" spans="1:40">
      <c r="A144" s="132"/>
      <c r="B144" s="42" t="s">
        <v>314</v>
      </c>
      <c r="C144" s="6"/>
      <c r="D144" s="4" t="s">
        <v>309</v>
      </c>
      <c r="E144" s="4"/>
      <c r="F144" s="6">
        <v>2</v>
      </c>
      <c r="G144" s="6"/>
      <c r="H144" s="106"/>
    </row>
    <row r="145" spans="1:9" ht="26.25">
      <c r="A145" s="181" t="s">
        <v>56</v>
      </c>
      <c r="B145" s="181"/>
      <c r="C145" s="181"/>
      <c r="D145" s="181"/>
      <c r="E145" s="181"/>
      <c r="F145" s="181"/>
      <c r="G145" s="181"/>
      <c r="H145" s="182"/>
      <c r="I145" s="82" t="s">
        <v>659</v>
      </c>
    </row>
    <row r="146" spans="1:9" ht="56.25">
      <c r="A146" s="132"/>
      <c r="B146" s="6" t="s">
        <v>89</v>
      </c>
      <c r="C146" s="29" t="s">
        <v>90</v>
      </c>
      <c r="D146" s="1" t="s">
        <v>91</v>
      </c>
      <c r="E146" s="4" t="s">
        <v>92</v>
      </c>
      <c r="F146" s="6">
        <v>1</v>
      </c>
      <c r="G146" s="6"/>
      <c r="H146" s="106"/>
    </row>
    <row r="147" spans="1:9" ht="93.75">
      <c r="A147" s="132"/>
      <c r="B147" s="6" t="s">
        <v>93</v>
      </c>
      <c r="C147" s="1" t="s">
        <v>94</v>
      </c>
      <c r="D147" s="1"/>
      <c r="E147" s="4" t="s">
        <v>145</v>
      </c>
      <c r="F147" s="6">
        <v>1</v>
      </c>
      <c r="G147" s="6"/>
      <c r="H147" s="106"/>
    </row>
    <row r="148" spans="1:9" ht="37.5">
      <c r="A148" s="132"/>
      <c r="B148" s="6" t="s">
        <v>95</v>
      </c>
      <c r="C148" s="1" t="s">
        <v>96</v>
      </c>
      <c r="D148" s="1"/>
      <c r="E148" s="4"/>
      <c r="F148" s="6">
        <v>2</v>
      </c>
      <c r="G148" s="6"/>
      <c r="H148" s="106"/>
    </row>
    <row r="149" spans="1:9" ht="37.5">
      <c r="A149" s="132"/>
      <c r="B149" s="6" t="s">
        <v>97</v>
      </c>
      <c r="C149" s="1" t="s">
        <v>98</v>
      </c>
      <c r="D149" s="1"/>
      <c r="E149" s="4"/>
      <c r="F149" s="6">
        <v>2</v>
      </c>
      <c r="G149" s="6"/>
      <c r="H149" s="106"/>
    </row>
    <row r="150" spans="1:9">
      <c r="A150" s="132"/>
      <c r="B150" s="6" t="s">
        <v>99</v>
      </c>
      <c r="C150" s="1" t="s">
        <v>100</v>
      </c>
      <c r="D150" s="1"/>
      <c r="E150" s="4"/>
      <c r="F150" s="6">
        <v>2</v>
      </c>
      <c r="G150" s="6"/>
      <c r="H150" s="106"/>
    </row>
    <row r="151" spans="1:9" ht="56.25">
      <c r="A151" s="132"/>
      <c r="B151" s="6" t="s">
        <v>101</v>
      </c>
      <c r="C151" s="1" t="s">
        <v>102</v>
      </c>
      <c r="D151" s="1" t="s">
        <v>52</v>
      </c>
      <c r="E151" s="4"/>
      <c r="F151" s="6">
        <v>2</v>
      </c>
      <c r="G151" s="6"/>
      <c r="H151" s="106"/>
    </row>
    <row r="152" spans="1:9" ht="37.5">
      <c r="A152" s="132"/>
      <c r="B152" s="15" t="s">
        <v>103</v>
      </c>
      <c r="C152" s="28"/>
      <c r="D152" s="1" t="s">
        <v>104</v>
      </c>
      <c r="E152" s="4"/>
      <c r="F152" s="6">
        <v>1</v>
      </c>
      <c r="G152" s="6"/>
      <c r="H152" s="106"/>
    </row>
    <row r="153" spans="1:9" ht="37.5">
      <c r="A153" s="132"/>
      <c r="B153" s="6" t="s">
        <v>105</v>
      </c>
      <c r="C153" s="27" t="s">
        <v>17</v>
      </c>
      <c r="D153" s="1" t="s">
        <v>704</v>
      </c>
      <c r="E153" s="4"/>
      <c r="F153" s="6">
        <v>1</v>
      </c>
      <c r="G153" s="6"/>
      <c r="H153" s="106"/>
    </row>
    <row r="154" spans="1:9" ht="187.5">
      <c r="A154" s="132"/>
      <c r="B154" s="5" t="s">
        <v>82</v>
      </c>
      <c r="C154" s="27" t="s">
        <v>17</v>
      </c>
      <c r="D154" s="4" t="s">
        <v>83</v>
      </c>
      <c r="E154" s="4" t="s">
        <v>106</v>
      </c>
      <c r="F154" s="6">
        <v>2</v>
      </c>
      <c r="G154" s="6"/>
      <c r="H154" s="106"/>
    </row>
    <row r="155" spans="1:9" ht="225">
      <c r="A155" s="132"/>
      <c r="B155" s="5" t="s">
        <v>85</v>
      </c>
      <c r="C155" s="27" t="s">
        <v>17</v>
      </c>
      <c r="D155" s="4" t="s">
        <v>83</v>
      </c>
      <c r="E155" s="4" t="s">
        <v>107</v>
      </c>
      <c r="F155" s="6">
        <v>2</v>
      </c>
      <c r="G155" s="6"/>
      <c r="H155" s="106"/>
    </row>
    <row r="156" spans="1:9" ht="56.25">
      <c r="A156" s="132"/>
      <c r="B156" s="6" t="s">
        <v>305</v>
      </c>
      <c r="C156" s="6"/>
      <c r="D156" s="4" t="s">
        <v>306</v>
      </c>
      <c r="E156" s="4"/>
      <c r="F156" s="6">
        <v>1</v>
      </c>
      <c r="G156" s="6"/>
      <c r="H156" s="106"/>
    </row>
    <row r="157" spans="1:9">
      <c r="A157" s="132"/>
      <c r="B157" s="42" t="s">
        <v>315</v>
      </c>
      <c r="C157" s="6"/>
      <c r="D157" s="4" t="s">
        <v>309</v>
      </c>
      <c r="E157" s="4"/>
      <c r="F157" s="6">
        <v>1</v>
      </c>
      <c r="G157" s="6"/>
      <c r="H157" s="106"/>
    </row>
    <row r="158" spans="1:9">
      <c r="A158" s="132"/>
      <c r="B158" s="78" t="s">
        <v>310</v>
      </c>
      <c r="C158" s="8"/>
      <c r="D158" s="13" t="s">
        <v>311</v>
      </c>
      <c r="E158" s="4"/>
      <c r="F158" s="6">
        <v>1</v>
      </c>
      <c r="G158" s="6"/>
      <c r="H158" s="106"/>
    </row>
    <row r="159" spans="1:9" ht="26.25">
      <c r="A159" s="181" t="s">
        <v>108</v>
      </c>
      <c r="B159" s="181"/>
      <c r="C159" s="181"/>
      <c r="D159" s="181"/>
      <c r="E159" s="181"/>
      <c r="F159" s="181"/>
      <c r="G159" s="181"/>
      <c r="H159" s="182"/>
      <c r="I159" s="82" t="s">
        <v>659</v>
      </c>
    </row>
    <row r="160" spans="1:9" ht="150">
      <c r="A160" s="132"/>
      <c r="B160" s="6" t="s">
        <v>109</v>
      </c>
      <c r="C160" s="10"/>
      <c r="D160" s="1" t="s">
        <v>147</v>
      </c>
      <c r="E160" s="4" t="s">
        <v>146</v>
      </c>
      <c r="F160" s="6">
        <v>1</v>
      </c>
      <c r="G160" s="6"/>
      <c r="H160" s="106"/>
    </row>
    <row r="161" spans="1:9" ht="93.75">
      <c r="A161" s="132"/>
      <c r="B161" s="6" t="s">
        <v>110</v>
      </c>
      <c r="C161" s="10"/>
      <c r="D161" s="1" t="s">
        <v>111</v>
      </c>
      <c r="E161" s="4" t="s">
        <v>112</v>
      </c>
      <c r="F161" s="6">
        <v>1</v>
      </c>
      <c r="G161" s="6"/>
      <c r="H161" s="106"/>
    </row>
    <row r="162" spans="1:9" ht="93.75">
      <c r="A162" s="132"/>
      <c r="B162" s="6" t="s">
        <v>113</v>
      </c>
      <c r="C162" s="10"/>
      <c r="D162" s="1" t="s">
        <v>114</v>
      </c>
      <c r="E162" s="4" t="s">
        <v>115</v>
      </c>
      <c r="F162" s="6">
        <v>1</v>
      </c>
      <c r="G162" s="6"/>
      <c r="H162" s="106"/>
    </row>
    <row r="163" spans="1:9">
      <c r="A163" s="132"/>
      <c r="B163" s="6" t="s">
        <v>116</v>
      </c>
      <c r="C163" s="10"/>
      <c r="D163" s="30"/>
      <c r="E163" s="4"/>
      <c r="F163" s="6">
        <v>2</v>
      </c>
      <c r="G163" s="6"/>
      <c r="H163" s="106"/>
    </row>
    <row r="164" spans="1:9">
      <c r="A164" s="132"/>
      <c r="B164" s="6" t="s">
        <v>117</v>
      </c>
      <c r="C164" s="10"/>
      <c r="D164" s="2" t="s">
        <v>118</v>
      </c>
      <c r="E164" s="4" t="s">
        <v>119</v>
      </c>
      <c r="F164" s="6">
        <v>1</v>
      </c>
      <c r="G164" s="6"/>
      <c r="H164" s="106"/>
    </row>
    <row r="165" spans="1:9">
      <c r="A165" s="132"/>
      <c r="B165" s="6" t="s">
        <v>650</v>
      </c>
      <c r="C165" s="10"/>
      <c r="D165" s="2" t="s">
        <v>651</v>
      </c>
      <c r="E165" s="4"/>
      <c r="F165" s="6">
        <v>2</v>
      </c>
      <c r="G165" s="6"/>
      <c r="H165" s="106"/>
    </row>
    <row r="166" spans="1:9">
      <c r="A166" s="132"/>
      <c r="B166" s="6" t="s">
        <v>652</v>
      </c>
      <c r="C166" s="10"/>
      <c r="D166" s="2" t="s">
        <v>653</v>
      </c>
      <c r="E166" s="4"/>
      <c r="F166" s="6">
        <v>2</v>
      </c>
      <c r="G166" s="6"/>
      <c r="H166" s="106"/>
    </row>
    <row r="167" spans="1:9" ht="37.5">
      <c r="A167" s="132"/>
      <c r="B167" s="6" t="s">
        <v>120</v>
      </c>
      <c r="C167" s="9" t="s">
        <v>17</v>
      </c>
      <c r="D167" s="2" t="s">
        <v>121</v>
      </c>
      <c r="E167" s="4"/>
      <c r="F167" s="6">
        <v>1</v>
      </c>
      <c r="G167" s="6"/>
      <c r="H167" s="106"/>
    </row>
    <row r="168" spans="1:9" ht="75">
      <c r="A168" s="132"/>
      <c r="B168" s="55" t="s">
        <v>290</v>
      </c>
      <c r="C168" s="10"/>
      <c r="D168" s="2" t="s">
        <v>291</v>
      </c>
      <c r="E168" s="4"/>
      <c r="F168" s="6">
        <v>1</v>
      </c>
      <c r="G168" s="6"/>
      <c r="H168" s="106"/>
    </row>
    <row r="169" spans="1:9" ht="36">
      <c r="A169" s="186" t="s">
        <v>655</v>
      </c>
      <c r="B169" s="186"/>
      <c r="C169" s="186"/>
      <c r="D169" s="186"/>
      <c r="E169" s="186"/>
      <c r="F169" s="186"/>
      <c r="G169" s="186"/>
      <c r="H169" s="187"/>
      <c r="I169" s="82" t="s">
        <v>659</v>
      </c>
    </row>
    <row r="170" spans="1:9" ht="56.25">
      <c r="A170" s="132"/>
      <c r="B170" s="17" t="s">
        <v>228</v>
      </c>
      <c r="C170" s="12"/>
      <c r="D170" s="14" t="s">
        <v>234</v>
      </c>
      <c r="E170" s="44" t="s">
        <v>235</v>
      </c>
      <c r="F170" s="6">
        <v>2</v>
      </c>
      <c r="G170" s="6"/>
      <c r="H170" s="106"/>
    </row>
    <row r="171" spans="1:9">
      <c r="A171" s="132"/>
      <c r="B171" s="78" t="s">
        <v>299</v>
      </c>
      <c r="C171" s="12"/>
      <c r="D171" s="14" t="s">
        <v>300</v>
      </c>
      <c r="E171" s="44"/>
      <c r="F171" s="6">
        <v>2</v>
      </c>
      <c r="G171" s="6"/>
      <c r="H171" s="106"/>
    </row>
    <row r="172" spans="1:9">
      <c r="A172" s="132"/>
      <c r="B172" s="78" t="s">
        <v>292</v>
      </c>
      <c r="C172" s="12"/>
      <c r="D172" s="14" t="s">
        <v>301</v>
      </c>
      <c r="E172" s="44"/>
      <c r="F172" s="6">
        <v>2</v>
      </c>
      <c r="G172" s="6"/>
      <c r="H172" s="106"/>
    </row>
    <row r="173" spans="1:9">
      <c r="A173" s="132"/>
      <c r="B173" s="78" t="s">
        <v>297</v>
      </c>
      <c r="C173" s="12"/>
      <c r="D173" s="14" t="s">
        <v>298</v>
      </c>
      <c r="E173" s="44"/>
      <c r="F173" s="6">
        <v>1</v>
      </c>
      <c r="G173" s="6"/>
      <c r="H173" s="106"/>
    </row>
    <row r="174" spans="1:9" ht="56.25">
      <c r="A174" s="165" t="s">
        <v>563</v>
      </c>
      <c r="B174" s="24" t="s">
        <v>26</v>
      </c>
      <c r="C174" s="21"/>
      <c r="D174" s="21" t="s">
        <v>27</v>
      </c>
      <c r="E174" s="21" t="s">
        <v>133</v>
      </c>
      <c r="F174" s="6">
        <v>1</v>
      </c>
      <c r="G174" s="6"/>
      <c r="H174" s="106"/>
    </row>
    <row r="175" spans="1:9" ht="112.5">
      <c r="A175" s="165"/>
      <c r="B175" s="24" t="s">
        <v>29</v>
      </c>
      <c r="C175" s="23"/>
      <c r="D175" s="21" t="s">
        <v>30</v>
      </c>
      <c r="E175" s="25" t="s">
        <v>134</v>
      </c>
      <c r="F175" s="6">
        <v>2</v>
      </c>
      <c r="G175" s="6"/>
      <c r="H175" s="106"/>
    </row>
    <row r="176" spans="1:9" ht="75">
      <c r="A176" s="165"/>
      <c r="B176" s="22" t="s">
        <v>31</v>
      </c>
      <c r="C176" s="23"/>
      <c r="D176" s="23" t="s">
        <v>32</v>
      </c>
      <c r="E176" s="23" t="s">
        <v>135</v>
      </c>
      <c r="F176" s="6">
        <v>3</v>
      </c>
      <c r="G176" s="6"/>
      <c r="H176" s="106"/>
    </row>
    <row r="177" spans="1:9" ht="37.5">
      <c r="A177" s="165"/>
      <c r="B177" s="22" t="s">
        <v>229</v>
      </c>
      <c r="C177" s="45" t="s">
        <v>238</v>
      </c>
      <c r="D177" s="166" t="s">
        <v>230</v>
      </c>
      <c r="E177" s="168" t="s">
        <v>231</v>
      </c>
      <c r="F177" s="6">
        <v>1</v>
      </c>
      <c r="G177" s="6"/>
      <c r="H177" s="106"/>
    </row>
    <row r="178" spans="1:9" ht="37.5">
      <c r="A178" s="165"/>
      <c r="B178" s="22" t="s">
        <v>686</v>
      </c>
      <c r="C178" s="45" t="s">
        <v>238</v>
      </c>
      <c r="D178" s="167"/>
      <c r="E178" s="169"/>
      <c r="F178" s="6">
        <v>1</v>
      </c>
      <c r="G178" s="6"/>
      <c r="H178" s="106"/>
      <c r="I178" s="82" t="s">
        <v>659</v>
      </c>
    </row>
    <row r="183" spans="1:9" ht="15">
      <c r="F183" s="102"/>
    </row>
    <row r="184" spans="1:9" ht="15">
      <c r="F184" s="102"/>
    </row>
    <row r="185" spans="1:9" ht="15">
      <c r="F185" s="102"/>
    </row>
    <row r="186" spans="1:9" ht="15">
      <c r="F186" s="102"/>
    </row>
    <row r="187" spans="1:9" ht="15">
      <c r="F187" s="102"/>
    </row>
    <row r="188" spans="1:9" ht="15">
      <c r="F188" s="102"/>
    </row>
    <row r="189" spans="1:9" ht="15">
      <c r="F189" s="102"/>
    </row>
  </sheetData>
  <mergeCells count="37">
    <mergeCell ref="A125:H125"/>
    <mergeCell ref="A90:H90"/>
    <mergeCell ref="A56:A57"/>
    <mergeCell ref="A54:A55"/>
    <mergeCell ref="A59:A64"/>
    <mergeCell ref="D122:D124"/>
    <mergeCell ref="A127:H127"/>
    <mergeCell ref="A126:H126"/>
    <mergeCell ref="A145:H145"/>
    <mergeCell ref="A159:H159"/>
    <mergeCell ref="A169:H169"/>
    <mergeCell ref="A174:A178"/>
    <mergeCell ref="D177:D178"/>
    <mergeCell ref="E177:E178"/>
    <mergeCell ref="A39:A42"/>
    <mergeCell ref="A18:H18"/>
    <mergeCell ref="A19:H19"/>
    <mergeCell ref="D75:D76"/>
    <mergeCell ref="D96:D101"/>
    <mergeCell ref="D102:D103"/>
    <mergeCell ref="D107:D108"/>
    <mergeCell ref="A65:H65"/>
    <mergeCell ref="A71:H71"/>
    <mergeCell ref="A83:H83"/>
    <mergeCell ref="A43:A45"/>
    <mergeCell ref="A46:A48"/>
    <mergeCell ref="A49:A51"/>
    <mergeCell ref="A3:A6"/>
    <mergeCell ref="A20:A23"/>
    <mergeCell ref="B24:B26"/>
    <mergeCell ref="C39:C42"/>
    <mergeCell ref="B1:C1"/>
    <mergeCell ref="A7:H7"/>
    <mergeCell ref="A2:H2"/>
    <mergeCell ref="A24:A32"/>
    <mergeCell ref="A37:A38"/>
    <mergeCell ref="A33:A36"/>
  </mergeCells>
  <dataValidations disablePrompts="1" count="1">
    <dataValidation type="list" allowBlank="1" showInputMessage="1" showErrorMessage="1" sqref="G20:G64 G91:G124 G170:G178 G72:G82 G160:G168 G146:G158 G128:G144 G84:G89 G66:G70 G3:G6 G8:G17" xr:uid="{00000000-0002-0000-0000-000000000000}">
      <formula1>$K$2:$K$5</formula1>
    </dataValidation>
  </dataValidations>
  <hyperlinks>
    <hyperlink ref="J2" location="Настройка_сайта" display="Системы аналитики" xr:uid="{00000000-0004-0000-0000-000000000000}"/>
    <hyperlink ref="J3" location="Внешняя_оптимизация" display="Внешняя оптимизация" xr:uid="{00000000-0004-0000-0000-000001000000}"/>
    <hyperlink ref="J4" location="Вебмастер" display="Вебмастер" xr:uid="{00000000-0004-0000-0000-000002000000}"/>
    <hyperlink ref="J5" location="Метрика" display="Метрика" xr:uid="{00000000-0004-0000-0000-000003000000}"/>
    <hyperlink ref="J6" location="Смотрим_сайт_и_используем_сторонние_сервисы" display="Смотрим сайт и используем сторонние сервисы" xr:uid="{00000000-0004-0000-0000-000004000000}"/>
    <hyperlink ref="J7" location="Релевантность_шаблонов" display="Релевантность шаблонов" xr:uid="{00000000-0004-0000-0000-000005000000}"/>
    <hyperlink ref="J8" location="Анализ_на_базе_результатов_Спайдера" display="Анализ на базе результатов Спайдера" xr:uid="{00000000-0004-0000-0000-000006000000}"/>
    <hyperlink ref="J9" location="Советы_по_типам_сайтов" display="Советы по типам сайтов" xr:uid="{00000000-0004-0000-0000-000007000000}"/>
    <hyperlink ref="J10" location="Для_интернет_магазинов" display="Для интернет-магазинов" xr:uid="{00000000-0004-0000-0000-000008000000}"/>
    <hyperlink ref="J11" location="Для_сайтов_услуг" display="Для сайтов услуг" xr:uid="{00000000-0004-0000-0000-000009000000}"/>
    <hyperlink ref="J12" location="Для_информационных_сайтов" display="Для информационных сайтов" xr:uid="{00000000-0004-0000-0000-00000A000000}"/>
    <hyperlink ref="J13" location="Дополнительно" display="Дополнительно" xr:uid="{00000000-0004-0000-0000-00000B000000}"/>
    <hyperlink ref="I18" location="Начало" display="Вверх" xr:uid="{00000000-0004-0000-0000-00000C000000}"/>
    <hyperlink ref="I65" location="Начало" display="Вверх" xr:uid="{00000000-0004-0000-0000-00000D000000}"/>
    <hyperlink ref="I71" location="Начало" display="Вверх" xr:uid="{00000000-0004-0000-0000-00000E000000}"/>
    <hyperlink ref="I83" location="Начало" display="Вверх" xr:uid="{00000000-0004-0000-0000-00000F000000}"/>
    <hyperlink ref="I90" location="Начало" display="Вверх" xr:uid="{00000000-0004-0000-0000-000010000000}"/>
    <hyperlink ref="I125" location="Начало" display="Вверх" xr:uid="{00000000-0004-0000-0000-000011000000}"/>
    <hyperlink ref="I145" location="Начало" display="Вверх" xr:uid="{00000000-0004-0000-0000-000012000000}"/>
    <hyperlink ref="I159" location="Начало" display="Вверх" xr:uid="{00000000-0004-0000-0000-000013000000}"/>
    <hyperlink ref="I169" location="Начало" display="Вверх" xr:uid="{00000000-0004-0000-0000-000014000000}"/>
    <hyperlink ref="E12" r:id="rId1" xr:uid="{00000000-0004-0000-0000-000015000000}"/>
    <hyperlink ref="I178" location="Начало" display="Вверх" xr:uid="{00000000-0004-0000-0000-000016000000}"/>
    <hyperlink ref="E81" r:id="rId2" xr:uid="{00000000-0004-0000-0000-000017000000}"/>
    <hyperlink ref="E53" r:id="rId3" xr:uid="{AA242A55-5C5B-4F91-A498-CCC8F792FF8A}"/>
    <hyperlink ref="E13" r:id="rId4" xr:uid="{3FAEC46A-A9A7-46FF-A978-EA9816376D48}"/>
    <hyperlink ref="E25" r:id="rId5" xr:uid="{3E611076-4D67-43F9-8D22-B3059F99AAB8}"/>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E3F2-D85A-4B94-AD09-CDC9D7FCD7AD}">
  <dimension ref="A1:AJ116"/>
  <sheetViews>
    <sheetView zoomScale="70" zoomScaleNormal="70" workbookViewId="0">
      <pane ySplit="2" topLeftCell="A100" activePane="bottomLeft" state="frozen"/>
      <selection pane="bottomLeft" activeCell="B30" sqref="B30:E30"/>
    </sheetView>
  </sheetViews>
  <sheetFormatPr defaultColWidth="9.140625" defaultRowHeight="18.75"/>
  <cols>
    <col min="1" max="1" width="25" style="102" customWidth="1"/>
    <col min="2" max="2" width="23.85546875" style="102" customWidth="1"/>
    <col min="3" max="3" width="24.140625" style="102" customWidth="1"/>
    <col min="4" max="4" width="65.85546875" style="102" customWidth="1"/>
    <col min="5" max="5" width="49.42578125" style="102" customWidth="1"/>
    <col min="6" max="6" width="16.7109375" style="108" customWidth="1"/>
    <col min="7" max="7" width="37" style="102" customWidth="1"/>
    <col min="8" max="16384" width="9.140625" style="102"/>
  </cols>
  <sheetData>
    <row r="1" spans="1:7" ht="45.75" customHeight="1" thickBot="1">
      <c r="A1" s="80" t="s">
        <v>526</v>
      </c>
      <c r="B1" s="161" t="s">
        <v>525</v>
      </c>
      <c r="C1" s="162"/>
      <c r="D1" s="80" t="s">
        <v>319</v>
      </c>
      <c r="E1" s="80" t="s">
        <v>644</v>
      </c>
      <c r="F1" s="80" t="s">
        <v>320</v>
      </c>
      <c r="G1" s="80" t="s">
        <v>322</v>
      </c>
    </row>
    <row r="2" spans="1:7" ht="45.75" customHeight="1">
      <c r="A2" s="195" t="s">
        <v>708</v>
      </c>
      <c r="B2" s="195"/>
      <c r="C2" s="195"/>
      <c r="D2" s="195"/>
      <c r="E2" s="195"/>
      <c r="F2" s="195"/>
      <c r="G2" s="195"/>
    </row>
    <row r="3" spans="1:7" s="134" customFormat="1" ht="195.75" customHeight="1">
      <c r="A3" s="122" t="s">
        <v>17</v>
      </c>
      <c r="B3" s="111" t="s">
        <v>232</v>
      </c>
      <c r="C3" s="112" t="s">
        <v>7</v>
      </c>
      <c r="D3" s="113" t="s">
        <v>709</v>
      </c>
      <c r="E3" s="114" t="s">
        <v>676</v>
      </c>
      <c r="F3" s="111">
        <v>1</v>
      </c>
      <c r="G3" s="106"/>
    </row>
    <row r="4" spans="1:7" s="134" customFormat="1" ht="167.25" customHeight="1">
      <c r="A4" s="122" t="s">
        <v>17</v>
      </c>
      <c r="B4" s="109" t="s">
        <v>208</v>
      </c>
      <c r="C4" s="104"/>
      <c r="D4" s="104" t="s">
        <v>710</v>
      </c>
      <c r="E4" s="114" t="s">
        <v>217</v>
      </c>
      <c r="F4" s="111">
        <v>1</v>
      </c>
      <c r="G4" s="106"/>
    </row>
    <row r="5" spans="1:7" s="134" customFormat="1" ht="219" customHeight="1">
      <c r="A5" s="109" t="s">
        <v>705</v>
      </c>
      <c r="B5" s="109" t="s">
        <v>706</v>
      </c>
      <c r="C5" s="104"/>
      <c r="D5" s="104" t="s">
        <v>707</v>
      </c>
      <c r="E5" s="114"/>
      <c r="F5" s="111"/>
      <c r="G5" s="106"/>
    </row>
    <row r="6" spans="1:7" s="134" customFormat="1" ht="219" customHeight="1">
      <c r="A6" s="150" t="s">
        <v>721</v>
      </c>
      <c r="B6" s="109" t="s">
        <v>722</v>
      </c>
      <c r="C6" s="104"/>
      <c r="D6" s="104" t="s">
        <v>723</v>
      </c>
      <c r="E6" s="114"/>
      <c r="F6" s="111"/>
      <c r="G6" s="106"/>
    </row>
    <row r="7" spans="1:7" s="134" customFormat="1" ht="219" customHeight="1">
      <c r="A7" s="150" t="s">
        <v>724</v>
      </c>
      <c r="B7" s="109" t="s">
        <v>725</v>
      </c>
      <c r="C7" s="104"/>
      <c r="D7" s="104" t="s">
        <v>726</v>
      </c>
      <c r="E7" s="114"/>
      <c r="F7" s="111"/>
      <c r="G7" s="106"/>
    </row>
    <row r="8" spans="1:7" ht="155.25" customHeight="1">
      <c r="A8" s="155" t="s">
        <v>711</v>
      </c>
      <c r="B8" s="109" t="s">
        <v>488</v>
      </c>
      <c r="C8" s="104"/>
      <c r="D8" s="104" t="s">
        <v>590</v>
      </c>
      <c r="E8" s="104" t="s">
        <v>673</v>
      </c>
      <c r="F8" s="109">
        <v>1</v>
      </c>
      <c r="G8" s="104"/>
    </row>
    <row r="9" spans="1:7" ht="328.5" customHeight="1">
      <c r="A9" s="156"/>
      <c r="B9" s="109" t="s">
        <v>496</v>
      </c>
      <c r="C9" s="104"/>
      <c r="D9" s="104" t="s">
        <v>591</v>
      </c>
      <c r="E9" s="104" t="s">
        <v>674</v>
      </c>
      <c r="F9" s="109">
        <v>1</v>
      </c>
      <c r="G9" s="104"/>
    </row>
    <row r="10" spans="1:7" ht="328.5" customHeight="1">
      <c r="A10" s="157"/>
      <c r="B10" s="109" t="s">
        <v>712</v>
      </c>
      <c r="C10" s="104"/>
      <c r="D10" s="104" t="s">
        <v>713</v>
      </c>
      <c r="E10" s="104"/>
      <c r="F10" s="109"/>
      <c r="G10" s="104"/>
    </row>
    <row r="11" spans="1:7" ht="135.75" customHeight="1">
      <c r="A11" s="155" t="s">
        <v>714</v>
      </c>
      <c r="B11" s="109" t="s">
        <v>492</v>
      </c>
      <c r="C11" s="104"/>
      <c r="D11" s="104" t="s">
        <v>600</v>
      </c>
      <c r="E11" s="104"/>
      <c r="F11" s="109">
        <v>1</v>
      </c>
      <c r="G11" s="104"/>
    </row>
    <row r="12" spans="1:7" ht="256.5" customHeight="1">
      <c r="A12" s="156"/>
      <c r="B12" s="109" t="s">
        <v>509</v>
      </c>
      <c r="C12" s="104"/>
      <c r="D12" s="104" t="s">
        <v>602</v>
      </c>
      <c r="E12" s="104"/>
      <c r="F12" s="109">
        <v>1</v>
      </c>
      <c r="G12" s="104"/>
    </row>
    <row r="13" spans="1:7" ht="256.5" customHeight="1">
      <c r="A13" s="157"/>
      <c r="B13" s="109" t="s">
        <v>738</v>
      </c>
      <c r="C13" s="104" t="s">
        <v>739</v>
      </c>
      <c r="D13" s="104" t="s">
        <v>740</v>
      </c>
      <c r="E13" s="104"/>
      <c r="F13" s="109"/>
      <c r="G13" s="104"/>
    </row>
    <row r="14" spans="1:7" ht="243.75">
      <c r="A14" s="188" t="s">
        <v>715</v>
      </c>
      <c r="B14" s="119" t="s">
        <v>21</v>
      </c>
      <c r="C14" s="119"/>
      <c r="D14" s="120" t="s">
        <v>716</v>
      </c>
      <c r="E14" s="120" t="s">
        <v>128</v>
      </c>
      <c r="F14" s="109">
        <v>1</v>
      </c>
      <c r="G14" s="104"/>
    </row>
    <row r="15" spans="1:7" ht="168.75">
      <c r="A15" s="189"/>
      <c r="B15" s="119" t="s">
        <v>23</v>
      </c>
      <c r="C15" s="122" t="s">
        <v>17</v>
      </c>
      <c r="D15" s="120" t="s">
        <v>220</v>
      </c>
      <c r="E15" s="120" t="s">
        <v>221</v>
      </c>
      <c r="F15" s="109">
        <v>1</v>
      </c>
      <c r="G15" s="104"/>
    </row>
    <row r="16" spans="1:7" ht="187.5">
      <c r="A16" s="190"/>
      <c r="B16" s="119" t="s">
        <v>24</v>
      </c>
      <c r="C16" s="119"/>
      <c r="D16" s="120" t="s">
        <v>612</v>
      </c>
      <c r="E16" s="120" t="s">
        <v>221</v>
      </c>
      <c r="F16" s="109">
        <v>1</v>
      </c>
      <c r="G16" s="104"/>
    </row>
    <row r="17" spans="1:7" ht="153.75" customHeight="1">
      <c r="A17" s="109" t="s">
        <v>520</v>
      </c>
      <c r="B17" s="104" t="s">
        <v>534</v>
      </c>
      <c r="C17" s="104"/>
      <c r="D17" s="104" t="s">
        <v>613</v>
      </c>
      <c r="E17" s="104"/>
      <c r="F17" s="109">
        <v>1</v>
      </c>
      <c r="G17" s="104"/>
    </row>
    <row r="18" spans="1:7" ht="128.25" customHeight="1">
      <c r="A18" s="155" t="s">
        <v>717</v>
      </c>
      <c r="B18" s="109" t="s">
        <v>524</v>
      </c>
      <c r="C18" s="104"/>
      <c r="D18" s="104" t="s">
        <v>615</v>
      </c>
      <c r="E18" s="104"/>
      <c r="F18" s="109">
        <v>1</v>
      </c>
      <c r="G18" s="104"/>
    </row>
    <row r="19" spans="1:7" ht="409.5">
      <c r="A19" s="156"/>
      <c r="B19" s="119" t="s">
        <v>303</v>
      </c>
      <c r="C19" s="122" t="s">
        <v>17</v>
      </c>
      <c r="D19" s="121" t="s">
        <v>304</v>
      </c>
      <c r="E19" s="121" t="s">
        <v>302</v>
      </c>
      <c r="F19" s="109">
        <v>1</v>
      </c>
      <c r="G19" s="121"/>
    </row>
    <row r="20" spans="1:7" ht="167.25" customHeight="1">
      <c r="A20" s="157"/>
      <c r="B20" s="119" t="s">
        <v>542</v>
      </c>
      <c r="C20" s="104"/>
      <c r="D20" s="104" t="s">
        <v>543</v>
      </c>
      <c r="E20" s="121"/>
      <c r="F20" s="109">
        <v>1</v>
      </c>
      <c r="G20" s="104"/>
    </row>
    <row r="21" spans="1:7" ht="26.25">
      <c r="A21" s="176" t="s">
        <v>538</v>
      </c>
      <c r="B21" s="177"/>
      <c r="C21" s="177"/>
      <c r="D21" s="177"/>
      <c r="E21" s="177"/>
      <c r="F21" s="177"/>
      <c r="G21" s="178"/>
    </row>
    <row r="22" spans="1:7" ht="383.25" customHeight="1">
      <c r="A22" s="155" t="s">
        <v>718</v>
      </c>
      <c r="B22" s="103" t="s">
        <v>9</v>
      </c>
      <c r="C22" s="104"/>
      <c r="D22" s="105" t="s">
        <v>679</v>
      </c>
      <c r="E22" s="105" t="s">
        <v>125</v>
      </c>
      <c r="F22" s="103">
        <v>1</v>
      </c>
      <c r="G22" s="105"/>
    </row>
    <row r="23" spans="1:7" ht="114.75" customHeight="1">
      <c r="A23" s="156"/>
      <c r="B23" s="103" t="s">
        <v>10</v>
      </c>
      <c r="C23" s="104"/>
      <c r="D23" s="105" t="s">
        <v>11</v>
      </c>
      <c r="E23" s="105" t="s">
        <v>125</v>
      </c>
      <c r="F23" s="103">
        <v>1</v>
      </c>
      <c r="G23" s="105"/>
    </row>
    <row r="24" spans="1:7" s="118" customFormat="1" ht="228" customHeight="1">
      <c r="A24" s="157"/>
      <c r="B24" s="103" t="s">
        <v>12</v>
      </c>
      <c r="C24" s="104"/>
      <c r="D24" s="105" t="s">
        <v>209</v>
      </c>
      <c r="E24" s="105" t="s">
        <v>210</v>
      </c>
      <c r="F24" s="103">
        <v>1</v>
      </c>
      <c r="G24" s="105"/>
    </row>
    <row r="25" spans="1:7" s="117" customFormat="1" ht="43.5" customHeight="1">
      <c r="A25" s="176" t="s">
        <v>553</v>
      </c>
      <c r="B25" s="177"/>
      <c r="C25" s="177"/>
      <c r="D25" s="177"/>
      <c r="E25" s="177"/>
      <c r="F25" s="177"/>
      <c r="G25" s="178"/>
    </row>
    <row r="26" spans="1:7" ht="393.75">
      <c r="A26" s="132"/>
      <c r="B26" s="6" t="s">
        <v>226</v>
      </c>
      <c r="C26" s="12"/>
      <c r="D26" s="16" t="s">
        <v>681</v>
      </c>
      <c r="E26" s="3" t="s">
        <v>227</v>
      </c>
      <c r="F26" s="6">
        <v>1</v>
      </c>
      <c r="G26" s="104"/>
    </row>
    <row r="27" spans="1:7" ht="248.25" customHeight="1">
      <c r="A27" s="119" t="s">
        <v>730</v>
      </c>
      <c r="B27" s="6" t="s">
        <v>731</v>
      </c>
      <c r="C27" s="12"/>
      <c r="D27" s="16" t="s">
        <v>732</v>
      </c>
      <c r="E27" s="3" t="s">
        <v>733</v>
      </c>
      <c r="F27" s="6"/>
      <c r="G27" s="104"/>
    </row>
    <row r="28" spans="1:7" ht="300">
      <c r="A28" s="119" t="s">
        <v>719</v>
      </c>
      <c r="B28" s="119" t="s">
        <v>33</v>
      </c>
      <c r="C28" s="123" t="s">
        <v>239</v>
      </c>
      <c r="D28" s="120" t="s">
        <v>617</v>
      </c>
      <c r="E28" s="120" t="s">
        <v>223</v>
      </c>
      <c r="F28" s="109">
        <v>1</v>
      </c>
      <c r="G28" s="120"/>
    </row>
    <row r="29" spans="1:7" ht="144.75" customHeight="1">
      <c r="A29" s="115"/>
      <c r="B29" s="119" t="s">
        <v>691</v>
      </c>
      <c r="C29" s="119" t="s">
        <v>692</v>
      </c>
      <c r="D29" s="120" t="s">
        <v>693</v>
      </c>
      <c r="E29" s="120" t="s">
        <v>694</v>
      </c>
      <c r="F29" s="109"/>
      <c r="G29" s="120"/>
    </row>
    <row r="30" spans="1:7" ht="144.75" customHeight="1">
      <c r="A30" s="115"/>
      <c r="B30" s="119" t="s">
        <v>734</v>
      </c>
      <c r="C30" s="119" t="s">
        <v>735</v>
      </c>
      <c r="D30" s="120" t="s">
        <v>736</v>
      </c>
      <c r="E30" s="120" t="s">
        <v>737</v>
      </c>
      <c r="F30" s="109"/>
      <c r="G30" s="120"/>
    </row>
    <row r="31" spans="1:7" s="117" customFormat="1" ht="93.75">
      <c r="A31" s="115"/>
      <c r="B31" s="119" t="s">
        <v>561</v>
      </c>
      <c r="C31" s="119"/>
      <c r="D31" s="120" t="s">
        <v>720</v>
      </c>
      <c r="E31" s="120" t="s">
        <v>119</v>
      </c>
      <c r="F31" s="109">
        <v>1</v>
      </c>
      <c r="G31" s="120"/>
    </row>
    <row r="32" spans="1:7" s="117" customFormat="1" ht="26.25" customHeight="1">
      <c r="A32" s="179" t="s">
        <v>656</v>
      </c>
      <c r="B32" s="179"/>
      <c r="C32" s="179"/>
      <c r="D32" s="179"/>
      <c r="E32" s="179"/>
      <c r="F32" s="179"/>
      <c r="G32" s="179"/>
    </row>
    <row r="33" spans="1:7" s="117" customFormat="1" ht="128.25" customHeight="1">
      <c r="A33" s="132"/>
      <c r="B33" s="103" t="s">
        <v>35</v>
      </c>
      <c r="C33" s="129" t="s">
        <v>17</v>
      </c>
      <c r="D33" s="105" t="s">
        <v>36</v>
      </c>
      <c r="E33" s="103" t="s">
        <v>37</v>
      </c>
      <c r="F33" s="103">
        <v>1</v>
      </c>
      <c r="G33" s="120"/>
    </row>
    <row r="34" spans="1:7" s="117" customFormat="1" ht="150">
      <c r="A34" s="132"/>
      <c r="B34" s="131" t="s">
        <v>38</v>
      </c>
      <c r="C34" s="129" t="s">
        <v>17</v>
      </c>
      <c r="D34" s="114" t="s">
        <v>727</v>
      </c>
      <c r="E34" s="103" t="s">
        <v>138</v>
      </c>
      <c r="F34" s="103">
        <v>1</v>
      </c>
      <c r="G34" s="120"/>
    </row>
    <row r="35" spans="1:7" ht="173.25" customHeight="1">
      <c r="A35" s="132"/>
      <c r="B35" s="103" t="s">
        <v>45</v>
      </c>
      <c r="C35" s="129" t="s">
        <v>17</v>
      </c>
      <c r="D35" s="105" t="s">
        <v>657</v>
      </c>
      <c r="E35" s="103" t="s">
        <v>224</v>
      </c>
      <c r="F35" s="103">
        <v>1</v>
      </c>
      <c r="G35" s="120"/>
    </row>
    <row r="36" spans="1:7" ht="358.5" customHeight="1">
      <c r="A36" s="132"/>
      <c r="B36" s="103" t="s">
        <v>46</v>
      </c>
      <c r="C36" s="129" t="s">
        <v>17</v>
      </c>
      <c r="D36" s="105" t="s">
        <v>658</v>
      </c>
      <c r="E36" s="103" t="s">
        <v>47</v>
      </c>
      <c r="F36" s="103">
        <v>1</v>
      </c>
      <c r="G36" s="120"/>
    </row>
    <row r="37" spans="1:7" ht="26.25" customHeight="1">
      <c r="A37" s="177" t="s">
        <v>684</v>
      </c>
      <c r="B37" s="177"/>
      <c r="C37" s="177"/>
      <c r="D37" s="177"/>
      <c r="E37" s="177"/>
      <c r="F37" s="177"/>
      <c r="G37" s="177"/>
    </row>
    <row r="38" spans="1:7" ht="303" customHeight="1">
      <c r="A38" s="122" t="s">
        <v>17</v>
      </c>
      <c r="B38" s="116" t="s">
        <v>728</v>
      </c>
      <c r="C38" s="124" t="s">
        <v>622</v>
      </c>
      <c r="D38" s="125" t="s">
        <v>729</v>
      </c>
      <c r="E38" s="106" t="s">
        <v>216</v>
      </c>
      <c r="F38" s="116">
        <v>1</v>
      </c>
      <c r="G38" s="120"/>
    </row>
    <row r="39" spans="1:7" s="117" customFormat="1" ht="136.5" customHeight="1">
      <c r="A39" s="115"/>
      <c r="B39" s="119" t="s">
        <v>18</v>
      </c>
      <c r="C39" s="119"/>
      <c r="D39" s="120" t="s">
        <v>19</v>
      </c>
      <c r="E39" s="120" t="s">
        <v>130</v>
      </c>
      <c r="F39" s="116">
        <v>1</v>
      </c>
      <c r="G39" s="120"/>
    </row>
    <row r="40" spans="1:7" s="117" customFormat="1" ht="75">
      <c r="A40" s="115"/>
      <c r="B40" s="126" t="s">
        <v>25</v>
      </c>
      <c r="C40" s="122" t="s">
        <v>17</v>
      </c>
      <c r="D40" s="127" t="s">
        <v>624</v>
      </c>
      <c r="E40" s="120" t="s">
        <v>222</v>
      </c>
      <c r="F40" s="116">
        <v>1</v>
      </c>
      <c r="G40" s="121"/>
    </row>
    <row r="41" spans="1:7" s="117" customFormat="1" ht="138" customHeight="1">
      <c r="A41" s="115"/>
      <c r="B41" s="110" t="s">
        <v>28</v>
      </c>
      <c r="C41" s="128"/>
      <c r="D41" s="106" t="s">
        <v>625</v>
      </c>
      <c r="E41" s="114"/>
      <c r="F41" s="116">
        <v>1</v>
      </c>
      <c r="G41" s="121"/>
    </row>
    <row r="42" spans="1:7" ht="150.75" customHeight="1">
      <c r="A42" s="115"/>
      <c r="B42" s="110" t="s">
        <v>697</v>
      </c>
      <c r="C42" s="128"/>
      <c r="D42" s="149" t="s">
        <v>626</v>
      </c>
      <c r="E42" s="114"/>
      <c r="F42" s="116">
        <v>1</v>
      </c>
      <c r="G42" s="106"/>
    </row>
    <row r="43" spans="1:7" ht="168" customHeight="1">
      <c r="A43" s="115"/>
      <c r="B43" s="110" t="s">
        <v>570</v>
      </c>
      <c r="C43" s="128"/>
      <c r="D43" s="106" t="s">
        <v>628</v>
      </c>
      <c r="E43" s="114"/>
      <c r="F43" s="116">
        <v>1</v>
      </c>
      <c r="G43" s="106"/>
    </row>
    <row r="44" spans="1:7" s="117" customFormat="1" ht="101.25" customHeight="1">
      <c r="A44" s="115"/>
      <c r="B44" s="110" t="s">
        <v>630</v>
      </c>
      <c r="C44" s="128"/>
      <c r="D44" s="106" t="s">
        <v>631</v>
      </c>
      <c r="E44" s="114"/>
      <c r="F44" s="116">
        <v>1</v>
      </c>
      <c r="G44" s="106"/>
    </row>
    <row r="45" spans="1:7" s="117" customFormat="1" ht="37.5">
      <c r="A45" s="115"/>
      <c r="B45" s="110" t="s">
        <v>572</v>
      </c>
      <c r="C45" s="128"/>
      <c r="D45" s="173" t="s">
        <v>632</v>
      </c>
      <c r="E45" s="114"/>
      <c r="F45" s="116">
        <v>1</v>
      </c>
      <c r="G45" s="106"/>
    </row>
    <row r="46" spans="1:7" s="117" customFormat="1" ht="37.5">
      <c r="A46" s="115"/>
      <c r="B46" s="110" t="s">
        <v>573</v>
      </c>
      <c r="C46" s="128"/>
      <c r="D46" s="175"/>
      <c r="E46" s="114"/>
      <c r="F46" s="116">
        <v>1</v>
      </c>
      <c r="G46" s="106"/>
    </row>
    <row r="47" spans="1:7" s="117" customFormat="1" ht="56.25">
      <c r="A47" s="115"/>
      <c r="B47" s="110" t="s">
        <v>574</v>
      </c>
      <c r="C47" s="128"/>
      <c r="D47" s="106" t="s">
        <v>633</v>
      </c>
      <c r="E47" s="114"/>
      <c r="F47" s="116">
        <v>1</v>
      </c>
      <c r="G47" s="106"/>
    </row>
    <row r="48" spans="1:7" s="117" customFormat="1" ht="112.5">
      <c r="A48" s="115"/>
      <c r="B48" s="110" t="s">
        <v>575</v>
      </c>
      <c r="C48" s="128"/>
      <c r="D48" s="106" t="s">
        <v>634</v>
      </c>
      <c r="E48" s="114"/>
      <c r="F48" s="116">
        <v>1</v>
      </c>
      <c r="G48" s="106"/>
    </row>
    <row r="49" spans="1:7" s="117" customFormat="1" ht="74.25" customHeight="1">
      <c r="A49" s="115"/>
      <c r="B49" s="110" t="s">
        <v>698</v>
      </c>
      <c r="C49" s="128"/>
      <c r="D49" s="106" t="s">
        <v>699</v>
      </c>
      <c r="E49" s="114"/>
      <c r="F49" s="116">
        <v>1</v>
      </c>
      <c r="G49" s="106"/>
    </row>
    <row r="50" spans="1:7" s="117" customFormat="1" ht="87" customHeight="1">
      <c r="A50" s="115"/>
      <c r="B50" s="110" t="s">
        <v>700</v>
      </c>
      <c r="C50" s="128"/>
      <c r="D50" s="106" t="s">
        <v>701</v>
      </c>
      <c r="E50" s="114"/>
      <c r="F50" s="116">
        <v>1</v>
      </c>
      <c r="G50" s="106"/>
    </row>
    <row r="51" spans="1:7" s="117" customFormat="1" ht="130.5" customHeight="1">
      <c r="A51" s="115"/>
      <c r="B51" s="110" t="s">
        <v>702</v>
      </c>
      <c r="C51" s="128"/>
      <c r="D51" s="106" t="s">
        <v>703</v>
      </c>
      <c r="E51" s="114"/>
      <c r="F51" s="116">
        <v>1</v>
      </c>
      <c r="G51" s="106"/>
    </row>
    <row r="52" spans="1:7" s="117" customFormat="1" ht="36">
      <c r="A52" s="193" t="s">
        <v>1</v>
      </c>
      <c r="B52" s="193"/>
      <c r="C52" s="193"/>
      <c r="D52" s="193"/>
      <c r="E52" s="193"/>
      <c r="F52" s="193"/>
      <c r="G52" s="194"/>
    </row>
    <row r="53" spans="1:7" s="117" customFormat="1" ht="78" customHeight="1">
      <c r="A53" s="183" t="s">
        <v>560</v>
      </c>
      <c r="B53" s="184"/>
      <c r="C53" s="184"/>
      <c r="D53" s="184"/>
      <c r="E53" s="184"/>
      <c r="F53" s="184"/>
      <c r="G53" s="185"/>
    </row>
    <row r="54" spans="1:7" s="117" customFormat="1" ht="26.25">
      <c r="A54" s="191" t="s">
        <v>55</v>
      </c>
      <c r="B54" s="191"/>
      <c r="C54" s="191"/>
      <c r="D54" s="191"/>
      <c r="E54" s="191"/>
      <c r="F54" s="191"/>
      <c r="G54" s="192"/>
    </row>
    <row r="55" spans="1:7" s="117" customFormat="1" ht="117" customHeight="1">
      <c r="A55" s="132"/>
      <c r="B55" s="7" t="s">
        <v>57</v>
      </c>
      <c r="C55" s="4"/>
      <c r="D55" s="1" t="s">
        <v>140</v>
      </c>
      <c r="E55" s="1" t="s">
        <v>58</v>
      </c>
      <c r="F55" s="6">
        <v>1</v>
      </c>
      <c r="G55" s="106"/>
    </row>
    <row r="56" spans="1:7" s="117" customFormat="1" ht="206.25">
      <c r="A56" s="132"/>
      <c r="B56" s="6" t="s">
        <v>59</v>
      </c>
      <c r="C56" s="1"/>
      <c r="D56" s="1" t="s">
        <v>240</v>
      </c>
      <c r="E56" s="3" t="s">
        <v>225</v>
      </c>
      <c r="F56" s="6">
        <v>1</v>
      </c>
      <c r="G56" s="106"/>
    </row>
    <row r="57" spans="1:7" s="117" customFormat="1" ht="300">
      <c r="A57" s="132"/>
      <c r="B57" s="6" t="s">
        <v>60</v>
      </c>
      <c r="C57" s="1"/>
      <c r="D57" s="19" t="s">
        <v>271</v>
      </c>
      <c r="E57" s="19" t="s">
        <v>61</v>
      </c>
      <c r="F57" s="6">
        <v>2</v>
      </c>
      <c r="G57" s="106"/>
    </row>
    <row r="58" spans="1:7" s="117" customFormat="1" ht="56.25">
      <c r="A58" s="132"/>
      <c r="B58" s="6" t="s">
        <v>62</v>
      </c>
      <c r="C58" s="1"/>
      <c r="D58" s="1" t="s">
        <v>141</v>
      </c>
      <c r="E58" s="1" t="s">
        <v>63</v>
      </c>
      <c r="F58" s="6">
        <v>1</v>
      </c>
      <c r="G58" s="106"/>
    </row>
    <row r="59" spans="1:7" s="117" customFormat="1" ht="75">
      <c r="A59" s="132"/>
      <c r="B59" s="6" t="s">
        <v>64</v>
      </c>
      <c r="C59" s="27" t="s">
        <v>17</v>
      </c>
      <c r="D59" s="1" t="s">
        <v>142</v>
      </c>
      <c r="E59" s="1" t="s">
        <v>65</v>
      </c>
      <c r="F59" s="6">
        <v>1</v>
      </c>
      <c r="G59" s="106"/>
    </row>
    <row r="60" spans="1:7" s="117" customFormat="1" ht="131.25">
      <c r="A60" s="132"/>
      <c r="B60" s="7" t="s">
        <v>66</v>
      </c>
      <c r="C60" s="27" t="s">
        <v>17</v>
      </c>
      <c r="D60" s="1" t="s">
        <v>67</v>
      </c>
      <c r="E60" s="1" t="s">
        <v>68</v>
      </c>
      <c r="F60" s="6">
        <v>1</v>
      </c>
      <c r="G60" s="106"/>
    </row>
    <row r="61" spans="1:7" s="117" customFormat="1" ht="75">
      <c r="A61" s="132"/>
      <c r="B61" s="5" t="s">
        <v>69</v>
      </c>
      <c r="C61" s="6"/>
      <c r="D61" s="43" t="s">
        <v>143</v>
      </c>
      <c r="E61" s="3" t="s">
        <v>70</v>
      </c>
      <c r="F61" s="6">
        <v>1</v>
      </c>
      <c r="G61" s="106"/>
    </row>
    <row r="62" spans="1:7" s="117" customFormat="1" ht="112.5">
      <c r="A62" s="132"/>
      <c r="B62" s="5" t="s">
        <v>71</v>
      </c>
      <c r="C62" s="6"/>
      <c r="D62" s="4" t="s">
        <v>72</v>
      </c>
      <c r="E62" s="3" t="s">
        <v>73</v>
      </c>
      <c r="F62" s="6">
        <v>1</v>
      </c>
      <c r="G62" s="106"/>
    </row>
    <row r="63" spans="1:7" s="117" customFormat="1" ht="56.25">
      <c r="A63" s="132"/>
      <c r="B63" s="6" t="s">
        <v>74</v>
      </c>
      <c r="C63" s="6"/>
      <c r="D63" s="1" t="s">
        <v>75</v>
      </c>
      <c r="E63" s="3" t="s">
        <v>76</v>
      </c>
      <c r="F63" s="6">
        <v>2</v>
      </c>
      <c r="G63" s="106"/>
    </row>
    <row r="64" spans="1:7" s="117" customFormat="1" ht="75">
      <c r="A64" s="132"/>
      <c r="B64" s="5" t="s">
        <v>77</v>
      </c>
      <c r="C64" s="20" t="s">
        <v>17</v>
      </c>
      <c r="D64" s="4" t="s">
        <v>78</v>
      </c>
      <c r="E64" s="3" t="s">
        <v>79</v>
      </c>
      <c r="F64" s="6">
        <v>1</v>
      </c>
      <c r="G64" s="106"/>
    </row>
    <row r="65" spans="1:36" ht="93.75">
      <c r="A65" s="132"/>
      <c r="B65" s="5" t="s">
        <v>80</v>
      </c>
      <c r="C65" s="6" t="s">
        <v>649</v>
      </c>
      <c r="D65" s="4" t="s">
        <v>144</v>
      </c>
      <c r="E65" s="26" t="s">
        <v>81</v>
      </c>
      <c r="F65" s="6">
        <v>1</v>
      </c>
      <c r="G65" s="106"/>
    </row>
    <row r="66" spans="1:36" s="110" customFormat="1" ht="220.5" customHeight="1">
      <c r="A66" s="132"/>
      <c r="B66" s="5" t="s">
        <v>82</v>
      </c>
      <c r="C66" s="20" t="s">
        <v>17</v>
      </c>
      <c r="D66" s="4" t="s">
        <v>83</v>
      </c>
      <c r="E66" s="4" t="s">
        <v>84</v>
      </c>
      <c r="F66" s="6">
        <v>2</v>
      </c>
      <c r="G66" s="106"/>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row>
    <row r="67" spans="1:36" ht="281.25">
      <c r="A67" s="132"/>
      <c r="B67" s="5" t="s">
        <v>85</v>
      </c>
      <c r="C67" s="20" t="s">
        <v>17</v>
      </c>
      <c r="D67" s="4" t="s">
        <v>83</v>
      </c>
      <c r="E67" s="4" t="s">
        <v>86</v>
      </c>
      <c r="F67" s="6">
        <v>2</v>
      </c>
      <c r="G67" s="106"/>
    </row>
    <row r="68" spans="1:36" ht="112.5">
      <c r="A68" s="132"/>
      <c r="B68" s="5" t="s">
        <v>87</v>
      </c>
      <c r="C68" s="20" t="s">
        <v>17</v>
      </c>
      <c r="D68" s="4" t="s">
        <v>88</v>
      </c>
      <c r="E68" s="4"/>
      <c r="F68" s="6">
        <v>1</v>
      </c>
      <c r="G68" s="106"/>
    </row>
    <row r="69" spans="1:36" ht="225">
      <c r="A69" s="132"/>
      <c r="B69" s="6" t="s">
        <v>305</v>
      </c>
      <c r="C69" s="6"/>
      <c r="D69" s="4" t="s">
        <v>306</v>
      </c>
      <c r="E69" s="4"/>
      <c r="F69" s="6">
        <v>1</v>
      </c>
      <c r="G69" s="106"/>
    </row>
    <row r="70" spans="1:36" ht="112.5">
      <c r="A70" s="132"/>
      <c r="B70" s="6" t="s">
        <v>307</v>
      </c>
      <c r="C70" s="6"/>
      <c r="D70" s="4" t="s">
        <v>308</v>
      </c>
      <c r="E70" s="4"/>
      <c r="F70" s="6">
        <v>2</v>
      </c>
      <c r="G70" s="106"/>
    </row>
    <row r="71" spans="1:36" ht="93.75">
      <c r="A71" s="132"/>
      <c r="B71" s="42" t="s">
        <v>314</v>
      </c>
      <c r="C71" s="6"/>
      <c r="D71" s="4" t="s">
        <v>309</v>
      </c>
      <c r="E71" s="4"/>
      <c r="F71" s="6">
        <v>2</v>
      </c>
      <c r="G71" s="106"/>
    </row>
    <row r="72" spans="1:36" ht="26.25">
      <c r="A72" s="191" t="s">
        <v>56</v>
      </c>
      <c r="B72" s="191"/>
      <c r="C72" s="191"/>
      <c r="D72" s="191"/>
      <c r="E72" s="191"/>
      <c r="F72" s="191"/>
      <c r="G72" s="192"/>
    </row>
    <row r="73" spans="1:36" ht="187.5">
      <c r="A73" s="132"/>
      <c r="B73" s="6" t="s">
        <v>89</v>
      </c>
      <c r="C73" s="29" t="s">
        <v>90</v>
      </c>
      <c r="D73" s="1" t="s">
        <v>91</v>
      </c>
      <c r="E73" s="4" t="s">
        <v>92</v>
      </c>
      <c r="F73" s="6">
        <v>1</v>
      </c>
      <c r="G73" s="106"/>
    </row>
    <row r="74" spans="1:36" ht="112.5">
      <c r="A74" s="132"/>
      <c r="B74" s="6" t="s">
        <v>93</v>
      </c>
      <c r="C74" s="1" t="s">
        <v>94</v>
      </c>
      <c r="D74" s="1"/>
      <c r="E74" s="4" t="s">
        <v>145</v>
      </c>
      <c r="F74" s="6">
        <v>1</v>
      </c>
      <c r="G74" s="106"/>
    </row>
    <row r="75" spans="1:36" ht="159" customHeight="1">
      <c r="A75" s="132"/>
      <c r="B75" s="6" t="s">
        <v>95</v>
      </c>
      <c r="C75" s="1" t="s">
        <v>96</v>
      </c>
      <c r="D75" s="1"/>
      <c r="E75" s="4"/>
      <c r="F75" s="6">
        <v>2</v>
      </c>
      <c r="G75" s="106"/>
    </row>
    <row r="76" spans="1:36" ht="114" customHeight="1">
      <c r="A76" s="132"/>
      <c r="B76" s="6" t="s">
        <v>97</v>
      </c>
      <c r="C76" s="1" t="s">
        <v>98</v>
      </c>
      <c r="D76" s="1"/>
      <c r="E76" s="4"/>
      <c r="F76" s="6">
        <v>2</v>
      </c>
      <c r="G76" s="106"/>
    </row>
    <row r="77" spans="1:36" ht="56.25">
      <c r="A77" s="132"/>
      <c r="B77" s="6" t="s">
        <v>99</v>
      </c>
      <c r="C77" s="1" t="s">
        <v>100</v>
      </c>
      <c r="D77" s="1"/>
      <c r="E77" s="4"/>
      <c r="F77" s="6">
        <v>2</v>
      </c>
      <c r="G77" s="106"/>
    </row>
    <row r="78" spans="1:36" ht="112.5">
      <c r="A78" s="132"/>
      <c r="B78" s="6" t="s">
        <v>101</v>
      </c>
      <c r="C78" s="1" t="s">
        <v>102</v>
      </c>
      <c r="D78" s="1" t="s">
        <v>52</v>
      </c>
      <c r="E78" s="4"/>
      <c r="F78" s="6">
        <v>2</v>
      </c>
      <c r="G78" s="106"/>
    </row>
    <row r="79" spans="1:36" ht="154.5" customHeight="1">
      <c r="A79" s="132"/>
      <c r="B79" s="15" t="s">
        <v>103</v>
      </c>
      <c r="C79" s="28"/>
      <c r="D79" s="1" t="s">
        <v>104</v>
      </c>
      <c r="E79" s="4"/>
      <c r="F79" s="6">
        <v>1</v>
      </c>
      <c r="G79" s="106"/>
    </row>
    <row r="80" spans="1:36" ht="167.25" customHeight="1">
      <c r="A80" s="132"/>
      <c r="B80" s="6" t="s">
        <v>105</v>
      </c>
      <c r="C80" s="27" t="s">
        <v>17</v>
      </c>
      <c r="D80" s="1" t="s">
        <v>704</v>
      </c>
      <c r="E80" s="4"/>
      <c r="F80" s="6">
        <v>1</v>
      </c>
      <c r="G80" s="106"/>
    </row>
    <row r="81" spans="1:7" ht="187.5">
      <c r="A81" s="132"/>
      <c r="B81" s="5" t="s">
        <v>82</v>
      </c>
      <c r="C81" s="27" t="s">
        <v>17</v>
      </c>
      <c r="D81" s="4" t="s">
        <v>83</v>
      </c>
      <c r="E81" s="4" t="s">
        <v>106</v>
      </c>
      <c r="F81" s="6">
        <v>2</v>
      </c>
      <c r="G81" s="106"/>
    </row>
    <row r="82" spans="1:7" ht="225">
      <c r="A82" s="132"/>
      <c r="B82" s="5" t="s">
        <v>85</v>
      </c>
      <c r="C82" s="27" t="s">
        <v>17</v>
      </c>
      <c r="D82" s="4" t="s">
        <v>83</v>
      </c>
      <c r="E82" s="4" t="s">
        <v>107</v>
      </c>
      <c r="F82" s="6">
        <v>2</v>
      </c>
      <c r="G82" s="106"/>
    </row>
    <row r="83" spans="1:7" ht="225">
      <c r="A83" s="132"/>
      <c r="B83" s="6" t="s">
        <v>305</v>
      </c>
      <c r="C83" s="6"/>
      <c r="D83" s="4" t="s">
        <v>306</v>
      </c>
      <c r="E83" s="4"/>
      <c r="F83" s="6">
        <v>1</v>
      </c>
      <c r="G83" s="106"/>
    </row>
    <row r="84" spans="1:7" ht="93.75">
      <c r="A84" s="132"/>
      <c r="B84" s="42" t="s">
        <v>315</v>
      </c>
      <c r="C84" s="6"/>
      <c r="D84" s="4" t="s">
        <v>309</v>
      </c>
      <c r="E84" s="4"/>
      <c r="F84" s="6">
        <v>1</v>
      </c>
      <c r="G84" s="106"/>
    </row>
    <row r="85" spans="1:7" ht="75">
      <c r="A85" s="132"/>
      <c r="B85" s="78" t="s">
        <v>310</v>
      </c>
      <c r="C85" s="8"/>
      <c r="D85" s="13" t="s">
        <v>311</v>
      </c>
      <c r="E85" s="4"/>
      <c r="F85" s="6">
        <v>1</v>
      </c>
      <c r="G85" s="106"/>
    </row>
    <row r="86" spans="1:7" ht="26.25">
      <c r="A86" s="191" t="s">
        <v>108</v>
      </c>
      <c r="B86" s="191"/>
      <c r="C86" s="191"/>
      <c r="D86" s="191"/>
      <c r="E86" s="191"/>
      <c r="F86" s="191"/>
      <c r="G86" s="192"/>
    </row>
    <row r="87" spans="1:7" ht="150">
      <c r="A87" s="132"/>
      <c r="B87" s="6" t="s">
        <v>109</v>
      </c>
      <c r="C87" s="10"/>
      <c r="D87" s="1" t="s">
        <v>147</v>
      </c>
      <c r="E87" s="4" t="s">
        <v>146</v>
      </c>
      <c r="F87" s="6">
        <v>1</v>
      </c>
      <c r="G87" s="106"/>
    </row>
    <row r="88" spans="1:7" ht="93.75">
      <c r="A88" s="132"/>
      <c r="B88" s="6" t="s">
        <v>110</v>
      </c>
      <c r="C88" s="10"/>
      <c r="D88" s="1" t="s">
        <v>111</v>
      </c>
      <c r="E88" s="4" t="s">
        <v>112</v>
      </c>
      <c r="F88" s="6">
        <v>1</v>
      </c>
      <c r="G88" s="106"/>
    </row>
    <row r="89" spans="1:7" ht="93.75">
      <c r="A89" s="132"/>
      <c r="B89" s="6" t="s">
        <v>113</v>
      </c>
      <c r="C89" s="10"/>
      <c r="D89" s="1" t="s">
        <v>114</v>
      </c>
      <c r="E89" s="4" t="s">
        <v>115</v>
      </c>
      <c r="F89" s="6">
        <v>1</v>
      </c>
      <c r="G89" s="106"/>
    </row>
    <row r="90" spans="1:7" ht="75">
      <c r="A90" s="132"/>
      <c r="B90" s="6" t="s">
        <v>116</v>
      </c>
      <c r="C90" s="10"/>
      <c r="D90" s="30"/>
      <c r="E90" s="4"/>
      <c r="F90" s="6">
        <v>2</v>
      </c>
      <c r="G90" s="106"/>
    </row>
    <row r="91" spans="1:7" ht="56.25">
      <c r="A91" s="132"/>
      <c r="B91" s="6" t="s">
        <v>117</v>
      </c>
      <c r="C91" s="10"/>
      <c r="D91" s="2" t="s">
        <v>118</v>
      </c>
      <c r="E91" s="4" t="s">
        <v>119</v>
      </c>
      <c r="F91" s="6">
        <v>1</v>
      </c>
      <c r="G91" s="106"/>
    </row>
    <row r="92" spans="1:7" ht="75">
      <c r="A92" s="132"/>
      <c r="B92" s="6" t="s">
        <v>650</v>
      </c>
      <c r="C92" s="10"/>
      <c r="D92" s="2" t="s">
        <v>651</v>
      </c>
      <c r="E92" s="4"/>
      <c r="F92" s="6">
        <v>2</v>
      </c>
      <c r="G92" s="106"/>
    </row>
    <row r="93" spans="1:7" ht="56.25">
      <c r="A93" s="132"/>
      <c r="B93" s="6" t="s">
        <v>652</v>
      </c>
      <c r="C93" s="10"/>
      <c r="D93" s="2" t="s">
        <v>653</v>
      </c>
      <c r="E93" s="4"/>
      <c r="F93" s="6">
        <v>2</v>
      </c>
      <c r="G93" s="106"/>
    </row>
    <row r="94" spans="1:7" ht="131.25">
      <c r="A94" s="132"/>
      <c r="B94" s="6" t="s">
        <v>120</v>
      </c>
      <c r="C94" s="9" t="s">
        <v>17</v>
      </c>
      <c r="D94" s="2" t="s">
        <v>121</v>
      </c>
      <c r="E94" s="4"/>
      <c r="F94" s="6">
        <v>1</v>
      </c>
      <c r="G94" s="106"/>
    </row>
    <row r="95" spans="1:7" ht="262.5">
      <c r="A95" s="132"/>
      <c r="B95" s="55" t="s">
        <v>290</v>
      </c>
      <c r="C95" s="10"/>
      <c r="D95" s="2" t="s">
        <v>291</v>
      </c>
      <c r="E95" s="4"/>
      <c r="F95" s="6">
        <v>1</v>
      </c>
      <c r="G95" s="106"/>
    </row>
    <row r="96" spans="1:7" ht="36">
      <c r="A96" s="193" t="s">
        <v>655</v>
      </c>
      <c r="B96" s="193"/>
      <c r="C96" s="193"/>
      <c r="D96" s="193"/>
      <c r="E96" s="193"/>
      <c r="F96" s="193"/>
      <c r="G96" s="194"/>
    </row>
    <row r="97" spans="1:7" ht="150">
      <c r="A97" s="132"/>
      <c r="B97" s="17" t="s">
        <v>228</v>
      </c>
      <c r="C97" s="12"/>
      <c r="D97" s="14" t="s">
        <v>234</v>
      </c>
      <c r="E97" s="44" t="s">
        <v>235</v>
      </c>
      <c r="F97" s="6">
        <v>2</v>
      </c>
      <c r="G97" s="106"/>
    </row>
    <row r="98" spans="1:7" ht="37.5">
      <c r="A98" s="132"/>
      <c r="B98" s="78" t="s">
        <v>299</v>
      </c>
      <c r="C98" s="12"/>
      <c r="D98" s="14" t="s">
        <v>300</v>
      </c>
      <c r="E98" s="44"/>
      <c r="F98" s="6">
        <v>2</v>
      </c>
      <c r="G98" s="106"/>
    </row>
    <row r="99" spans="1:7" ht="56.25">
      <c r="A99" s="132"/>
      <c r="B99" s="78" t="s">
        <v>292</v>
      </c>
      <c r="C99" s="12"/>
      <c r="D99" s="14" t="s">
        <v>301</v>
      </c>
      <c r="E99" s="44"/>
      <c r="F99" s="6">
        <v>2</v>
      </c>
      <c r="G99" s="106"/>
    </row>
    <row r="100" spans="1:7" ht="75">
      <c r="A100" s="132"/>
      <c r="B100" s="78" t="s">
        <v>297</v>
      </c>
      <c r="C100" s="12"/>
      <c r="D100" s="14" t="s">
        <v>298</v>
      </c>
      <c r="E100" s="44"/>
      <c r="F100" s="6">
        <v>1</v>
      </c>
      <c r="G100" s="106"/>
    </row>
    <row r="101" spans="1:7" ht="75" customHeight="1">
      <c r="A101" s="165" t="s">
        <v>563</v>
      </c>
      <c r="B101" s="24" t="s">
        <v>26</v>
      </c>
      <c r="C101" s="21"/>
      <c r="D101" s="21" t="s">
        <v>27</v>
      </c>
      <c r="E101" s="21" t="s">
        <v>133</v>
      </c>
      <c r="F101" s="6">
        <v>1</v>
      </c>
      <c r="G101" s="106"/>
    </row>
    <row r="102" spans="1:7" ht="112.5">
      <c r="A102" s="165"/>
      <c r="B102" s="24" t="s">
        <v>29</v>
      </c>
      <c r="C102" s="23"/>
      <c r="D102" s="21" t="s">
        <v>30</v>
      </c>
      <c r="E102" s="25" t="s">
        <v>134</v>
      </c>
      <c r="F102" s="6">
        <v>2</v>
      </c>
      <c r="G102" s="106"/>
    </row>
    <row r="103" spans="1:7" ht="93.75">
      <c r="A103" s="165"/>
      <c r="B103" s="22" t="s">
        <v>31</v>
      </c>
      <c r="C103" s="23"/>
      <c r="D103" s="23" t="s">
        <v>32</v>
      </c>
      <c r="E103" s="23" t="s">
        <v>135</v>
      </c>
      <c r="F103" s="6">
        <v>3</v>
      </c>
      <c r="G103" s="106"/>
    </row>
    <row r="104" spans="1:7" ht="56.25" customHeight="1">
      <c r="A104" s="165"/>
      <c r="B104" s="22" t="s">
        <v>229</v>
      </c>
      <c r="C104" s="45" t="s">
        <v>238</v>
      </c>
      <c r="D104" s="166" t="s">
        <v>230</v>
      </c>
      <c r="E104" s="168" t="s">
        <v>231</v>
      </c>
      <c r="F104" s="6">
        <v>1</v>
      </c>
      <c r="G104" s="106"/>
    </row>
    <row r="105" spans="1:7" ht="56.25" customHeight="1">
      <c r="A105" s="165"/>
      <c r="B105" s="22" t="s">
        <v>686</v>
      </c>
      <c r="C105" s="45" t="s">
        <v>238</v>
      </c>
      <c r="D105" s="167"/>
      <c r="E105" s="169"/>
      <c r="F105" s="6">
        <v>1</v>
      </c>
      <c r="G105" s="106"/>
    </row>
    <row r="110" spans="1:7" ht="15">
      <c r="F110" s="102"/>
    </row>
    <row r="111" spans="1:7" ht="15">
      <c r="F111" s="102"/>
    </row>
    <row r="112" spans="1:7" ht="15">
      <c r="F112" s="102"/>
    </row>
    <row r="113" spans="6:6" ht="15">
      <c r="F113" s="102"/>
    </row>
    <row r="114" spans="6:6" ht="56.25" customHeight="1">
      <c r="F114" s="102"/>
    </row>
    <row r="115" spans="6:6" ht="15">
      <c r="F115" s="102"/>
    </row>
    <row r="116" spans="6:6" ht="75" customHeight="1">
      <c r="F116" s="102"/>
    </row>
  </sheetData>
  <mergeCells count="21">
    <mergeCell ref="B1:C1"/>
    <mergeCell ref="A72:G72"/>
    <mergeCell ref="A86:G86"/>
    <mergeCell ref="A96:G96"/>
    <mergeCell ref="A101:A105"/>
    <mergeCell ref="D104:D105"/>
    <mergeCell ref="E104:E105"/>
    <mergeCell ref="A53:G53"/>
    <mergeCell ref="A52:G52"/>
    <mergeCell ref="A37:G37"/>
    <mergeCell ref="A32:G32"/>
    <mergeCell ref="A54:G54"/>
    <mergeCell ref="D45:D46"/>
    <mergeCell ref="A2:G2"/>
    <mergeCell ref="A18:A20"/>
    <mergeCell ref="A22:A24"/>
    <mergeCell ref="A25:G25"/>
    <mergeCell ref="A11:A13"/>
    <mergeCell ref="A21:G21"/>
    <mergeCell ref="A14:A16"/>
    <mergeCell ref="A8:A10"/>
  </mergeCells>
  <hyperlinks>
    <hyperlink ref="E29" r:id="rId1" xr:uid="{4309CB3A-DFD5-4167-9033-0F6CD9CB8998}"/>
    <hyperlink ref="E31" r:id="rId2" xr:uid="{A0D901DA-BDBA-4E10-95F5-106C8F82767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G39"/>
  <sheetViews>
    <sheetView zoomScale="80" zoomScaleNormal="80" workbookViewId="0">
      <selection activeCell="A6" sqref="A6:XFD6"/>
    </sheetView>
  </sheetViews>
  <sheetFormatPr defaultColWidth="11.42578125" defaultRowHeight="15"/>
  <cols>
    <col min="1" max="1" width="39.7109375" customWidth="1"/>
    <col min="2" max="2" width="37.42578125" customWidth="1"/>
    <col min="3" max="3" width="56.7109375" customWidth="1"/>
    <col min="4" max="4" width="59.7109375" style="41" customWidth="1"/>
    <col min="5" max="5" width="33.28515625" bestFit="1" customWidth="1"/>
    <col min="6" max="6" width="27.85546875" customWidth="1"/>
    <col min="7" max="7" width="55.85546875" customWidth="1"/>
  </cols>
  <sheetData>
    <row r="1" spans="1:7" ht="26.25">
      <c r="A1" s="197" t="s">
        <v>150</v>
      </c>
      <c r="B1" s="198"/>
      <c r="C1" s="198"/>
      <c r="D1" s="198"/>
      <c r="E1" s="198"/>
      <c r="F1" s="198"/>
      <c r="G1" s="199"/>
    </row>
    <row r="2" spans="1:7" ht="19.5" thickBot="1">
      <c r="A2" s="31" t="s">
        <v>151</v>
      </c>
      <c r="B2" s="32" t="s">
        <v>152</v>
      </c>
      <c r="C2" s="33"/>
      <c r="D2" s="34"/>
      <c r="E2" s="35"/>
      <c r="F2" s="36"/>
      <c r="G2" s="37"/>
    </row>
    <row r="3" spans="1:7" ht="26.25">
      <c r="A3" s="196" t="s">
        <v>153</v>
      </c>
      <c r="B3" s="196"/>
      <c r="C3" s="196"/>
      <c r="D3" s="196"/>
      <c r="E3" s="196"/>
      <c r="F3" s="196"/>
      <c r="G3" s="196"/>
    </row>
    <row r="4" spans="1:7" ht="37.5">
      <c r="A4" s="38" t="s">
        <v>154</v>
      </c>
      <c r="B4" s="38" t="s">
        <v>155</v>
      </c>
      <c r="C4" s="16" t="s">
        <v>156</v>
      </c>
      <c r="D4" s="59" t="s">
        <v>155</v>
      </c>
      <c r="E4" s="18"/>
      <c r="F4" s="4"/>
      <c r="G4" s="4"/>
    </row>
    <row r="5" spans="1:7" ht="93.75">
      <c r="A5" s="38" t="s">
        <v>157</v>
      </c>
      <c r="B5" s="39" t="s">
        <v>158</v>
      </c>
      <c r="C5" s="16" t="s">
        <v>159</v>
      </c>
      <c r="D5" s="59" t="s">
        <v>160</v>
      </c>
      <c r="E5" s="18"/>
      <c r="F5" s="4"/>
      <c r="G5" s="4"/>
    </row>
    <row r="6" spans="1:7" ht="54">
      <c r="A6" s="56" t="s">
        <v>269</v>
      </c>
      <c r="B6" s="57" t="s">
        <v>268</v>
      </c>
      <c r="C6" s="58" t="s">
        <v>270</v>
      </c>
      <c r="D6" s="59" t="s">
        <v>268</v>
      </c>
      <c r="E6" s="51"/>
      <c r="F6" s="52"/>
      <c r="G6" s="49"/>
    </row>
    <row r="7" spans="1:7" ht="28.5">
      <c r="A7" s="56" t="s">
        <v>266</v>
      </c>
      <c r="B7" s="57" t="s">
        <v>265</v>
      </c>
      <c r="C7" s="58" t="s">
        <v>267</v>
      </c>
      <c r="D7" s="59" t="s">
        <v>265</v>
      </c>
      <c r="E7" s="50"/>
      <c r="F7" s="49"/>
      <c r="G7" s="49"/>
    </row>
    <row r="8" spans="1:7" ht="36">
      <c r="A8" s="56" t="s">
        <v>263</v>
      </c>
      <c r="B8" s="57" t="s">
        <v>262</v>
      </c>
      <c r="C8" s="58" t="s">
        <v>264</v>
      </c>
      <c r="D8" s="59" t="s">
        <v>262</v>
      </c>
      <c r="E8" s="51"/>
      <c r="F8" s="49"/>
      <c r="G8" s="49"/>
    </row>
    <row r="9" spans="1:7" ht="36">
      <c r="A9" s="57" t="s">
        <v>260</v>
      </c>
      <c r="B9" s="57" t="s">
        <v>259</v>
      </c>
      <c r="C9" s="58" t="s">
        <v>261</v>
      </c>
      <c r="D9" s="59" t="s">
        <v>259</v>
      </c>
      <c r="E9" s="51"/>
      <c r="F9" s="52"/>
      <c r="G9" s="52"/>
    </row>
    <row r="10" spans="1:7" ht="180.75" thickBot="1">
      <c r="A10" s="60" t="s">
        <v>253</v>
      </c>
      <c r="B10" s="61" t="s">
        <v>252</v>
      </c>
      <c r="C10" s="62" t="s">
        <v>254</v>
      </c>
      <c r="D10" s="63" t="s">
        <v>252</v>
      </c>
      <c r="E10" s="53"/>
      <c r="F10" s="54"/>
      <c r="G10" s="54"/>
    </row>
    <row r="11" spans="1:7" ht="26.25">
      <c r="A11" s="200" t="s">
        <v>0</v>
      </c>
      <c r="B11" s="200"/>
      <c r="C11" s="200"/>
      <c r="D11" s="200"/>
      <c r="E11" s="200"/>
      <c r="F11" s="200"/>
      <c r="G11" s="200"/>
    </row>
    <row r="12" spans="1:7" ht="75">
      <c r="A12" s="38" t="s">
        <v>161</v>
      </c>
      <c r="B12" s="38" t="s">
        <v>162</v>
      </c>
      <c r="C12" s="16" t="s">
        <v>163</v>
      </c>
      <c r="D12" s="64" t="s">
        <v>164</v>
      </c>
      <c r="E12" s="18"/>
      <c r="F12" s="4"/>
      <c r="G12" s="4"/>
    </row>
    <row r="13" spans="1:7" ht="93.75">
      <c r="A13" s="38" t="s">
        <v>165</v>
      </c>
      <c r="B13" s="38" t="s">
        <v>166</v>
      </c>
      <c r="C13" s="16" t="s">
        <v>167</v>
      </c>
      <c r="D13" s="65" t="s">
        <v>166</v>
      </c>
      <c r="E13" s="18"/>
      <c r="F13" s="4"/>
      <c r="G13" s="4"/>
    </row>
    <row r="14" spans="1:7" ht="168.75">
      <c r="A14" s="38" t="s">
        <v>168</v>
      </c>
      <c r="B14" s="38" t="s">
        <v>169</v>
      </c>
      <c r="C14" s="16" t="s">
        <v>170</v>
      </c>
      <c r="D14" s="65" t="s">
        <v>169</v>
      </c>
      <c r="E14" s="18"/>
      <c r="F14" s="4"/>
      <c r="G14" s="4"/>
    </row>
    <row r="15" spans="1:7" ht="93.75">
      <c r="A15" s="38" t="s">
        <v>171</v>
      </c>
      <c r="B15" s="38" t="s">
        <v>172</v>
      </c>
      <c r="C15" s="16" t="s">
        <v>173</v>
      </c>
      <c r="D15" s="65" t="s">
        <v>172</v>
      </c>
      <c r="E15" s="18"/>
      <c r="F15" s="4"/>
      <c r="G15" s="4"/>
    </row>
    <row r="16" spans="1:7" ht="150">
      <c r="A16" s="38" t="s">
        <v>174</v>
      </c>
      <c r="B16" s="38" t="s">
        <v>175</v>
      </c>
      <c r="C16" s="16" t="s">
        <v>176</v>
      </c>
      <c r="D16" s="66" t="s">
        <v>175</v>
      </c>
      <c r="E16" s="18"/>
      <c r="F16" s="4"/>
      <c r="G16" s="4"/>
    </row>
    <row r="17" spans="1:7" ht="56.25">
      <c r="A17" s="38" t="s">
        <v>177</v>
      </c>
      <c r="B17" s="38" t="s">
        <v>178</v>
      </c>
      <c r="C17" s="16" t="s">
        <v>179</v>
      </c>
      <c r="D17" s="64" t="s">
        <v>180</v>
      </c>
      <c r="E17" s="18"/>
      <c r="F17" s="4"/>
      <c r="G17" s="4"/>
    </row>
    <row r="18" spans="1:7" ht="93.75">
      <c r="A18" s="38" t="s">
        <v>181</v>
      </c>
      <c r="B18" s="38" t="s">
        <v>182</v>
      </c>
      <c r="C18" s="16" t="s">
        <v>183</v>
      </c>
      <c r="D18" s="64" t="s">
        <v>182</v>
      </c>
      <c r="E18" s="18"/>
      <c r="F18" s="4"/>
      <c r="G18" s="4"/>
    </row>
    <row r="19" spans="1:7" ht="93.75">
      <c r="A19" s="38" t="s">
        <v>184</v>
      </c>
      <c r="B19" s="38" t="s">
        <v>185</v>
      </c>
      <c r="C19" s="16" t="s">
        <v>186</v>
      </c>
      <c r="D19" s="64" t="s">
        <v>185</v>
      </c>
      <c r="E19" s="18"/>
      <c r="F19" s="4"/>
      <c r="G19" s="4"/>
    </row>
    <row r="20" spans="1:7" ht="93.75">
      <c r="A20" s="38" t="s">
        <v>187</v>
      </c>
      <c r="B20" s="38" t="s">
        <v>188</v>
      </c>
      <c r="C20" s="16" t="s">
        <v>189</v>
      </c>
      <c r="D20" s="64" t="s">
        <v>188</v>
      </c>
      <c r="E20" s="18"/>
      <c r="F20" s="4"/>
      <c r="G20" s="4"/>
    </row>
    <row r="21" spans="1:7" ht="28.5">
      <c r="A21" s="38" t="s">
        <v>190</v>
      </c>
      <c r="B21" s="38" t="s">
        <v>191</v>
      </c>
      <c r="C21" s="16" t="s">
        <v>192</v>
      </c>
      <c r="D21" s="67" t="s">
        <v>191</v>
      </c>
      <c r="E21" s="18"/>
      <c r="F21" s="4"/>
      <c r="G21" s="4"/>
    </row>
    <row r="22" spans="1:7" ht="28.5">
      <c r="A22" s="38" t="s">
        <v>193</v>
      </c>
      <c r="B22" s="38" t="s">
        <v>194</v>
      </c>
      <c r="C22" s="16" t="s">
        <v>195</v>
      </c>
      <c r="D22" s="67" t="s">
        <v>194</v>
      </c>
      <c r="E22" s="18"/>
      <c r="F22" s="4"/>
      <c r="G22" s="4"/>
    </row>
    <row r="23" spans="1:7" ht="225">
      <c r="A23" s="38" t="s">
        <v>243</v>
      </c>
      <c r="B23" s="38" t="s">
        <v>242</v>
      </c>
      <c r="C23" s="46" t="s">
        <v>241</v>
      </c>
      <c r="D23" s="67" t="s">
        <v>242</v>
      </c>
      <c r="E23" s="18"/>
      <c r="F23" s="4"/>
      <c r="G23" s="4"/>
    </row>
    <row r="24" spans="1:7" ht="37.5">
      <c r="A24" s="38" t="s">
        <v>243</v>
      </c>
      <c r="B24" s="38" t="s">
        <v>245</v>
      </c>
      <c r="C24" s="16" t="s">
        <v>244</v>
      </c>
      <c r="D24" s="67" t="s">
        <v>245</v>
      </c>
      <c r="E24" s="18"/>
      <c r="F24" s="4"/>
      <c r="G24" s="4"/>
    </row>
    <row r="25" spans="1:7" ht="29.25" thickBot="1">
      <c r="A25" s="38" t="s">
        <v>316</v>
      </c>
      <c r="B25" s="38" t="s">
        <v>317</v>
      </c>
      <c r="C25" s="16" t="s">
        <v>318</v>
      </c>
      <c r="D25" s="79" t="s">
        <v>317</v>
      </c>
      <c r="E25" s="18"/>
      <c r="F25" s="4"/>
      <c r="G25" s="4"/>
    </row>
    <row r="26" spans="1:7" ht="26.25">
      <c r="A26" s="196" t="s">
        <v>196</v>
      </c>
      <c r="B26" s="196"/>
      <c r="C26" s="196"/>
      <c r="D26" s="196"/>
      <c r="E26" s="196"/>
      <c r="F26" s="196"/>
      <c r="G26" s="196"/>
    </row>
    <row r="27" spans="1:7" ht="281.25">
      <c r="A27" s="38" t="s">
        <v>197</v>
      </c>
      <c r="B27" s="38" t="s">
        <v>198</v>
      </c>
      <c r="C27" s="16" t="s">
        <v>199</v>
      </c>
      <c r="D27" s="64" t="s">
        <v>198</v>
      </c>
      <c r="E27" s="40"/>
      <c r="F27" s="4"/>
      <c r="G27" s="4"/>
    </row>
    <row r="28" spans="1:7" ht="131.25">
      <c r="A28" s="38" t="s">
        <v>200</v>
      </c>
      <c r="B28" s="38" t="s">
        <v>201</v>
      </c>
      <c r="C28" s="16" t="s">
        <v>202</v>
      </c>
      <c r="D28" s="64" t="s">
        <v>201</v>
      </c>
      <c r="E28" s="18"/>
      <c r="F28" s="4"/>
      <c r="G28" s="4"/>
    </row>
    <row r="29" spans="1:7" ht="75">
      <c r="A29" s="38" t="s">
        <v>203</v>
      </c>
      <c r="B29" s="38" t="s">
        <v>204</v>
      </c>
      <c r="C29" s="16" t="s">
        <v>205</v>
      </c>
      <c r="D29" s="65" t="s">
        <v>204</v>
      </c>
      <c r="E29" s="18"/>
      <c r="F29" s="4"/>
      <c r="G29" s="4"/>
    </row>
    <row r="30" spans="1:7" s="76" customFormat="1" ht="54.75" thickBot="1">
      <c r="A30" s="68" t="s">
        <v>257</v>
      </c>
      <c r="B30" s="68" t="s">
        <v>255</v>
      </c>
      <c r="C30" s="69" t="s">
        <v>258</v>
      </c>
      <c r="D30" s="70" t="s">
        <v>256</v>
      </c>
      <c r="E30" s="71"/>
      <c r="F30" s="72"/>
      <c r="G30" s="72"/>
    </row>
    <row r="31" spans="1:7" ht="26.1" customHeight="1">
      <c r="A31" s="196" t="s">
        <v>272</v>
      </c>
      <c r="B31" s="196"/>
      <c r="C31" s="196"/>
      <c r="D31" s="196"/>
      <c r="E31" s="196"/>
      <c r="F31" s="196"/>
      <c r="G31" s="196"/>
    </row>
    <row r="32" spans="1:7" ht="112.5">
      <c r="A32" s="77" t="s">
        <v>273</v>
      </c>
      <c r="B32" s="38" t="s">
        <v>274</v>
      </c>
      <c r="C32" s="16" t="s">
        <v>289</v>
      </c>
      <c r="D32" s="73" t="s">
        <v>274</v>
      </c>
      <c r="E32" s="18"/>
      <c r="F32" s="4"/>
      <c r="G32" s="4"/>
    </row>
    <row r="33" spans="1:7" ht="262.5">
      <c r="A33" s="77" t="s">
        <v>275</v>
      </c>
      <c r="B33" s="38" t="s">
        <v>276</v>
      </c>
      <c r="C33" s="16" t="s">
        <v>288</v>
      </c>
      <c r="D33" s="74" t="s">
        <v>276</v>
      </c>
      <c r="E33" s="18"/>
      <c r="F33" s="4"/>
      <c r="G33" s="4"/>
    </row>
    <row r="34" spans="1:7" ht="113.25" thickBot="1">
      <c r="A34" s="77"/>
      <c r="B34" s="38" t="s">
        <v>277</v>
      </c>
      <c r="C34" s="16" t="s">
        <v>287</v>
      </c>
      <c r="D34" s="73" t="s">
        <v>277</v>
      </c>
      <c r="E34" s="18"/>
      <c r="F34" s="4"/>
      <c r="G34" s="4"/>
    </row>
    <row r="35" spans="1:7" ht="26.1" customHeight="1">
      <c r="A35" s="196" t="s">
        <v>278</v>
      </c>
      <c r="B35" s="196"/>
      <c r="C35" s="196"/>
      <c r="D35" s="196"/>
      <c r="E35" s="196"/>
      <c r="F35" s="196"/>
      <c r="G35" s="196"/>
    </row>
    <row r="36" spans="1:7" ht="300">
      <c r="A36" s="38" t="s">
        <v>279</v>
      </c>
      <c r="B36" s="38"/>
      <c r="C36" s="16" t="s">
        <v>280</v>
      </c>
      <c r="D36" s="65"/>
      <c r="E36" s="18"/>
      <c r="F36" s="4"/>
      <c r="G36" s="4"/>
    </row>
    <row r="37" spans="1:7" ht="206.25">
      <c r="A37" s="38"/>
      <c r="B37" s="38" t="s">
        <v>281</v>
      </c>
      <c r="C37" s="16" t="s">
        <v>282</v>
      </c>
      <c r="D37" s="65" t="s">
        <v>281</v>
      </c>
      <c r="E37" s="18"/>
      <c r="F37" s="4"/>
      <c r="G37" s="4"/>
    </row>
    <row r="38" spans="1:7" ht="112.5">
      <c r="A38" s="38"/>
      <c r="B38" s="38" t="s">
        <v>283</v>
      </c>
      <c r="C38" s="16" t="s">
        <v>284</v>
      </c>
      <c r="D38" s="75" t="s">
        <v>283</v>
      </c>
      <c r="E38" s="18"/>
      <c r="F38" s="4"/>
      <c r="G38" s="4"/>
    </row>
    <row r="39" spans="1:7" ht="187.5">
      <c r="A39" s="38"/>
      <c r="B39" s="38" t="s">
        <v>285</v>
      </c>
      <c r="C39" s="16" t="s">
        <v>286</v>
      </c>
      <c r="D39" s="75" t="s">
        <v>285</v>
      </c>
      <c r="E39" s="18"/>
      <c r="F39" s="4"/>
      <c r="G39" s="4"/>
    </row>
  </sheetData>
  <mergeCells count="6">
    <mergeCell ref="A35:G35"/>
    <mergeCell ref="A31:G31"/>
    <mergeCell ref="A1:G1"/>
    <mergeCell ref="A3:G3"/>
    <mergeCell ref="A11:G11"/>
    <mergeCell ref="A26:G26"/>
  </mergeCells>
  <hyperlinks>
    <hyperlink ref="D13" r:id="rId1" xr:uid="{00000000-0004-0000-0100-000000000000}"/>
    <hyperlink ref="D15" r:id="rId2" xr:uid="{00000000-0004-0000-0100-000001000000}"/>
    <hyperlink ref="D16" r:id="rId3" xr:uid="{00000000-0004-0000-0100-000002000000}"/>
    <hyperlink ref="D17" r:id="rId4" xr:uid="{00000000-0004-0000-0100-000003000000}"/>
    <hyperlink ref="D18" r:id="rId5" xr:uid="{00000000-0004-0000-0100-000004000000}"/>
    <hyperlink ref="D27" r:id="rId6" xr:uid="{00000000-0004-0000-0100-000005000000}"/>
    <hyperlink ref="D28" r:id="rId7" xr:uid="{00000000-0004-0000-0100-000006000000}"/>
    <hyperlink ref="D12" r:id="rId8" xr:uid="{00000000-0004-0000-0100-000007000000}"/>
    <hyperlink ref="D14" r:id="rId9" display="http://www.megaindex.ru/" xr:uid="{00000000-0004-0000-0100-000008000000}"/>
    <hyperlink ref="D19" r:id="rId10" xr:uid="{00000000-0004-0000-0100-000009000000}"/>
    <hyperlink ref="D20" r:id="rId11" xr:uid="{00000000-0004-0000-0100-00000A000000}"/>
    <hyperlink ref="D22" r:id="rId12" xr:uid="{00000000-0004-0000-0100-00000B000000}"/>
    <hyperlink ref="D21" r:id="rId13" xr:uid="{00000000-0004-0000-0100-00000C000000}"/>
    <hyperlink ref="D5" r:id="rId14" xr:uid="{00000000-0004-0000-0100-00000D000000}"/>
    <hyperlink ref="D10" r:id="rId15" xr:uid="{00000000-0004-0000-0100-00000E000000}"/>
    <hyperlink ref="D29" r:id="rId16" xr:uid="{00000000-0004-0000-0100-00000F000000}"/>
    <hyperlink ref="B32" r:id="rId17" xr:uid="{00000000-0004-0000-0100-000010000000}"/>
    <hyperlink ref="D32" r:id="rId18" xr:uid="{00000000-0004-0000-0100-000011000000}"/>
    <hyperlink ref="B33" r:id="rId19" xr:uid="{00000000-0004-0000-0100-000012000000}"/>
    <hyperlink ref="B34" r:id="rId20" xr:uid="{00000000-0004-0000-0100-000013000000}"/>
    <hyperlink ref="D34" r:id="rId21" xr:uid="{00000000-0004-0000-0100-000014000000}"/>
    <hyperlink ref="D33" r:id="rId22" xr:uid="{00000000-0004-0000-0100-000015000000}"/>
    <hyperlink ref="B37" r:id="rId23" xr:uid="{00000000-0004-0000-0100-000016000000}"/>
    <hyperlink ref="B38" r:id="rId24" xr:uid="{00000000-0004-0000-0100-000017000000}"/>
    <hyperlink ref="B39" r:id="rId25" xr:uid="{00000000-0004-0000-0100-000018000000}"/>
    <hyperlink ref="D39" r:id="rId26" xr:uid="{00000000-0004-0000-0100-000019000000}"/>
    <hyperlink ref="D38" r:id="rId27" xr:uid="{00000000-0004-0000-0100-00001A000000}"/>
    <hyperlink ref="D25" r:id="rId28" xr:uid="{00000000-0004-0000-0100-00001B000000}"/>
  </hyperlinks>
  <pageMargins left="0.7" right="0.7" top="0.75" bottom="0.75" header="0.3" footer="0.3"/>
  <pageSetup paperSize="9" orientation="portrait"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C5"/>
  <sheetViews>
    <sheetView workbookViewId="0">
      <selection activeCell="B2" sqref="B2"/>
    </sheetView>
  </sheetViews>
  <sheetFormatPr defaultColWidth="11.42578125" defaultRowHeight="15"/>
  <cols>
    <col min="1" max="1" width="51" bestFit="1" customWidth="1"/>
    <col min="2" max="2" width="56.85546875" customWidth="1"/>
    <col min="3" max="3" width="55.85546875" customWidth="1"/>
  </cols>
  <sheetData>
    <row r="1" spans="1:3" ht="26.25">
      <c r="A1" s="47" t="s">
        <v>152</v>
      </c>
      <c r="B1" s="47" t="s">
        <v>206</v>
      </c>
      <c r="C1" s="47" t="s">
        <v>207</v>
      </c>
    </row>
    <row r="2" spans="1:3" ht="240">
      <c r="A2" s="138" t="s">
        <v>246</v>
      </c>
      <c r="B2" s="139" t="s">
        <v>247</v>
      </c>
      <c r="C2" s="140" t="s">
        <v>248</v>
      </c>
    </row>
    <row r="3" spans="1:3" ht="135">
      <c r="A3" s="138" t="s">
        <v>249</v>
      </c>
      <c r="B3" s="141" t="s">
        <v>250</v>
      </c>
      <c r="C3" s="98" t="s">
        <v>251</v>
      </c>
    </row>
    <row r="4" spans="1:3" ht="255">
      <c r="A4" s="138" t="s">
        <v>293</v>
      </c>
      <c r="B4" s="142" t="s">
        <v>312</v>
      </c>
      <c r="C4" s="98" t="s">
        <v>313</v>
      </c>
    </row>
    <row r="5" spans="1:3" ht="60">
      <c r="A5" s="138" t="s">
        <v>687</v>
      </c>
      <c r="B5" s="142" t="s">
        <v>688</v>
      </c>
      <c r="C5" s="98" t="s">
        <v>689</v>
      </c>
    </row>
  </sheetData>
  <hyperlinks>
    <hyperlink ref="A2" r:id="rId1" xr:uid="{00000000-0004-0000-0200-000000000000}"/>
    <hyperlink ref="A3" r:id="rId2" xr:uid="{00000000-0004-0000-0200-000001000000}"/>
    <hyperlink ref="A4" r:id="rId3" xr:uid="{00000000-0004-0000-02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4"/>
  <dimension ref="A1:Q968"/>
  <sheetViews>
    <sheetView topLeftCell="B7" workbookViewId="0"/>
  </sheetViews>
  <sheetFormatPr defaultColWidth="8.85546875" defaultRowHeight="15"/>
  <cols>
    <col min="1" max="1" width="40.140625" style="81" bestFit="1" customWidth="1"/>
    <col min="2" max="2" width="23.85546875" style="81" customWidth="1"/>
    <col min="3" max="3" width="22.42578125" style="81" customWidth="1"/>
    <col min="4" max="4" width="17.42578125" style="81" customWidth="1"/>
    <col min="5" max="5" width="20.42578125" style="81" customWidth="1"/>
    <col min="6" max="6" width="18.85546875" style="81" customWidth="1"/>
    <col min="7" max="7" width="21" style="81" customWidth="1"/>
    <col min="8" max="8" width="20.85546875" style="81" customWidth="1"/>
    <col min="9" max="9" width="23.85546875" style="81" customWidth="1"/>
    <col min="10" max="10" width="15.28515625" style="81" customWidth="1"/>
    <col min="11" max="11" width="11.28515625" style="81" customWidth="1"/>
    <col min="12" max="12" width="15.28515625" style="81" customWidth="1"/>
    <col min="13" max="13" width="17.28515625" customWidth="1"/>
    <col min="14" max="14" width="15.42578125" customWidth="1"/>
    <col min="15" max="15" width="46.140625" customWidth="1"/>
    <col min="17" max="17" width="15.28515625" customWidth="1"/>
  </cols>
  <sheetData>
    <row r="1" spans="1:17" ht="75">
      <c r="A1" s="81" t="s">
        <v>661</v>
      </c>
      <c r="B1" s="82"/>
      <c r="C1" s="82"/>
      <c r="D1" s="82"/>
      <c r="E1" s="82"/>
      <c r="F1" s="82"/>
      <c r="G1" s="82"/>
      <c r="H1" s="82"/>
      <c r="I1" s="82"/>
      <c r="J1" s="83" t="s">
        <v>325</v>
      </c>
      <c r="K1" s="144" t="s">
        <v>326</v>
      </c>
      <c r="L1" s="83" t="s">
        <v>325</v>
      </c>
      <c r="M1" t="s">
        <v>322</v>
      </c>
      <c r="N1" s="84" t="s">
        <v>327</v>
      </c>
      <c r="O1" s="11" t="s">
        <v>328</v>
      </c>
      <c r="Q1" s="48" t="s">
        <v>329</v>
      </c>
    </row>
    <row r="2" spans="1:17">
      <c r="A2" s="85" t="s">
        <v>330</v>
      </c>
      <c r="B2" s="86"/>
      <c r="C2" s="86"/>
      <c r="D2" s="87"/>
      <c r="E2" s="86"/>
      <c r="F2" s="87"/>
      <c r="G2" s="86"/>
      <c r="H2" s="86"/>
      <c r="I2" s="86"/>
      <c r="J2" s="87"/>
      <c r="K2" s="145"/>
      <c r="L2" s="88"/>
      <c r="O2" s="89" t="s">
        <v>331</v>
      </c>
      <c r="Q2" t="s">
        <v>332</v>
      </c>
    </row>
    <row r="3" spans="1:17">
      <c r="A3" s="90" t="s">
        <v>333</v>
      </c>
      <c r="B3" s="91"/>
      <c r="C3" s="91"/>
      <c r="D3" s="91"/>
      <c r="E3" s="91"/>
      <c r="F3" s="91"/>
      <c r="G3" s="91"/>
      <c r="H3" s="91"/>
      <c r="I3" s="91"/>
      <c r="J3" s="91"/>
      <c r="K3" s="146"/>
      <c r="L3" s="92"/>
      <c r="N3" s="93">
        <v>0</v>
      </c>
      <c r="O3" s="81" t="s">
        <v>334</v>
      </c>
      <c r="P3" s="94"/>
      <c r="Q3" t="s">
        <v>335</v>
      </c>
    </row>
    <row r="4" spans="1:17" ht="14.85" customHeight="1">
      <c r="A4" s="81" t="s">
        <v>336</v>
      </c>
      <c r="K4" s="147">
        <f t="shared" ref="K4:K51" si="0">COUNTIF($B4:$J4,"+")</f>
        <v>0</v>
      </c>
      <c r="L4" s="81" t="str">
        <f>IF(J4="+",$O$2,VLOOKUP(K4,$N$3:$O$6,2,TRUE))</f>
        <v>не нужно</v>
      </c>
      <c r="N4" s="93">
        <v>1</v>
      </c>
      <c r="O4" s="95" t="s">
        <v>337</v>
      </c>
      <c r="P4" s="94"/>
      <c r="Q4" t="s">
        <v>338</v>
      </c>
    </row>
    <row r="5" spans="1:17" ht="14.85" customHeight="1">
      <c r="A5" s="81" t="s">
        <v>339</v>
      </c>
      <c r="K5" s="147">
        <f t="shared" si="0"/>
        <v>0</v>
      </c>
      <c r="L5" s="81" t="str">
        <f t="shared" ref="L5:L50" si="1">IF(J5="+",$O$2,VLOOKUP(K5,$N$3:$O$6,2,TRUE))</f>
        <v>не нужно</v>
      </c>
      <c r="N5" s="93">
        <v>3</v>
      </c>
      <c r="O5" s="96" t="s">
        <v>340</v>
      </c>
      <c r="P5" s="94"/>
    </row>
    <row r="6" spans="1:17" ht="14.85" customHeight="1">
      <c r="A6" s="81" t="s">
        <v>341</v>
      </c>
      <c r="K6" s="147">
        <f t="shared" si="0"/>
        <v>0</v>
      </c>
      <c r="L6" s="81" t="str">
        <f t="shared" si="1"/>
        <v>не нужно</v>
      </c>
      <c r="N6" s="93">
        <v>5</v>
      </c>
      <c r="O6" s="97" t="s">
        <v>342</v>
      </c>
    </row>
    <row r="7" spans="1:17" ht="14.85" customHeight="1">
      <c r="A7" s="81" t="s">
        <v>343</v>
      </c>
      <c r="K7" s="147">
        <f t="shared" si="0"/>
        <v>0</v>
      </c>
      <c r="L7" s="81" t="str">
        <f t="shared" si="1"/>
        <v>не нужно</v>
      </c>
    </row>
    <row r="8" spans="1:17" ht="14.85" customHeight="1">
      <c r="A8" s="81" t="s">
        <v>54</v>
      </c>
      <c r="K8" s="147">
        <f t="shared" si="0"/>
        <v>0</v>
      </c>
      <c r="L8" s="81" t="str">
        <f t="shared" si="1"/>
        <v>не нужно</v>
      </c>
    </row>
    <row r="9" spans="1:17" ht="14.85" customHeight="1">
      <c r="A9" s="81" t="s">
        <v>344</v>
      </c>
      <c r="K9" s="147">
        <f t="shared" si="0"/>
        <v>0</v>
      </c>
      <c r="L9" s="81" t="str">
        <f t="shared" si="1"/>
        <v>не нужно</v>
      </c>
    </row>
    <row r="10" spans="1:17" ht="14.85" customHeight="1">
      <c r="A10" s="81" t="s">
        <v>53</v>
      </c>
      <c r="K10" s="147">
        <f t="shared" si="0"/>
        <v>0</v>
      </c>
      <c r="L10" s="81" t="str">
        <f t="shared" si="1"/>
        <v>не нужно</v>
      </c>
    </row>
    <row r="11" spans="1:17" ht="14.85" customHeight="1">
      <c r="A11" s="81" t="s">
        <v>345</v>
      </c>
      <c r="K11" s="147">
        <f t="shared" si="0"/>
        <v>0</v>
      </c>
      <c r="L11" s="81" t="str">
        <f t="shared" si="1"/>
        <v>не нужно</v>
      </c>
    </row>
    <row r="12" spans="1:17" ht="14.85" customHeight="1">
      <c r="A12" s="81" t="s">
        <v>51</v>
      </c>
      <c r="K12" s="147">
        <f t="shared" si="0"/>
        <v>0</v>
      </c>
      <c r="L12" s="81" t="str">
        <f t="shared" si="1"/>
        <v>не нужно</v>
      </c>
    </row>
    <row r="13" spans="1:17" ht="14.85" customHeight="1">
      <c r="A13" s="81" t="s">
        <v>346</v>
      </c>
      <c r="K13" s="147">
        <f t="shared" si="0"/>
        <v>0</v>
      </c>
      <c r="L13" s="81" t="str">
        <f t="shared" si="1"/>
        <v>не нужно</v>
      </c>
    </row>
    <row r="14" spans="1:17" ht="14.85" customHeight="1">
      <c r="A14" s="81" t="s">
        <v>347</v>
      </c>
      <c r="K14" s="147">
        <f t="shared" si="0"/>
        <v>0</v>
      </c>
      <c r="L14" s="81" t="str">
        <f t="shared" si="1"/>
        <v>не нужно</v>
      </c>
    </row>
    <row r="15" spans="1:17" ht="14.85" customHeight="1">
      <c r="A15" s="81" t="s">
        <v>348</v>
      </c>
      <c r="K15" s="147">
        <f t="shared" si="0"/>
        <v>0</v>
      </c>
      <c r="L15" s="81" t="str">
        <f t="shared" si="1"/>
        <v>не нужно</v>
      </c>
    </row>
    <row r="16" spans="1:17" ht="14.85" customHeight="1">
      <c r="A16" s="81" t="s">
        <v>349</v>
      </c>
      <c r="K16" s="147">
        <f t="shared" si="0"/>
        <v>0</v>
      </c>
      <c r="L16" s="81" t="str">
        <f t="shared" si="1"/>
        <v>не нужно</v>
      </c>
    </row>
    <row r="17" spans="1:15" ht="14.85" customHeight="1">
      <c r="A17" s="81" t="s">
        <v>350</v>
      </c>
      <c r="K17" s="147">
        <f t="shared" si="0"/>
        <v>0</v>
      </c>
      <c r="L17" s="81" t="str">
        <f t="shared" si="1"/>
        <v>не нужно</v>
      </c>
      <c r="O17" t="s">
        <v>351</v>
      </c>
    </row>
    <row r="18" spans="1:15" ht="14.85" customHeight="1">
      <c r="A18" s="81" t="s">
        <v>352</v>
      </c>
      <c r="K18" s="147">
        <f t="shared" si="0"/>
        <v>0</v>
      </c>
      <c r="L18" s="81" t="str">
        <f t="shared" si="1"/>
        <v>не нужно</v>
      </c>
    </row>
    <row r="19" spans="1:15" ht="14.85" customHeight="1">
      <c r="A19" s="81" t="s">
        <v>353</v>
      </c>
      <c r="K19" s="147">
        <f t="shared" si="0"/>
        <v>0</v>
      </c>
      <c r="L19" s="81" t="str">
        <f t="shared" si="1"/>
        <v>не нужно</v>
      </c>
    </row>
    <row r="20" spans="1:15" ht="14.85" customHeight="1">
      <c r="A20" s="81" t="s">
        <v>354</v>
      </c>
      <c r="K20" s="147">
        <f t="shared" si="0"/>
        <v>0</v>
      </c>
      <c r="L20" s="81" t="str">
        <f t="shared" si="1"/>
        <v>не нужно</v>
      </c>
    </row>
    <row r="21" spans="1:15" ht="14.85" customHeight="1">
      <c r="A21" s="81" t="s">
        <v>355</v>
      </c>
      <c r="K21" s="147">
        <f t="shared" si="0"/>
        <v>0</v>
      </c>
      <c r="L21" s="81" t="str">
        <f t="shared" si="1"/>
        <v>не нужно</v>
      </c>
    </row>
    <row r="22" spans="1:15" ht="14.85" customHeight="1">
      <c r="A22" s="81" t="s">
        <v>356</v>
      </c>
      <c r="K22" s="147">
        <f t="shared" si="0"/>
        <v>0</v>
      </c>
      <c r="L22" s="81" t="str">
        <f t="shared" si="1"/>
        <v>не нужно</v>
      </c>
    </row>
    <row r="23" spans="1:15" ht="14.85" customHeight="1">
      <c r="A23" s="81" t="s">
        <v>357</v>
      </c>
      <c r="K23" s="147">
        <f t="shared" si="0"/>
        <v>0</v>
      </c>
      <c r="L23" s="81" t="str">
        <f t="shared" si="1"/>
        <v>не нужно</v>
      </c>
      <c r="O23" t="s">
        <v>351</v>
      </c>
    </row>
    <row r="24" spans="1:15" ht="14.85" customHeight="1">
      <c r="A24" s="81" t="s">
        <v>358</v>
      </c>
      <c r="K24" s="147">
        <f t="shared" si="0"/>
        <v>0</v>
      </c>
      <c r="L24" s="81" t="str">
        <f t="shared" si="1"/>
        <v>не нужно</v>
      </c>
    </row>
    <row r="25" spans="1:15" ht="14.85" customHeight="1">
      <c r="A25" s="81" t="s">
        <v>359</v>
      </c>
      <c r="G25" s="81" t="s">
        <v>338</v>
      </c>
      <c r="K25" s="147">
        <f t="shared" si="0"/>
        <v>0</v>
      </c>
      <c r="L25" s="81" t="str">
        <f t="shared" si="1"/>
        <v>не нужно</v>
      </c>
    </row>
    <row r="26" spans="1:15" ht="14.85" customHeight="1">
      <c r="A26" s="81" t="s">
        <v>360</v>
      </c>
      <c r="K26" s="147">
        <f t="shared" si="0"/>
        <v>0</v>
      </c>
      <c r="L26" s="81" t="str">
        <f t="shared" si="1"/>
        <v>не нужно</v>
      </c>
    </row>
    <row r="27" spans="1:15" ht="14.85" customHeight="1">
      <c r="A27" s="81" t="s">
        <v>361</v>
      </c>
      <c r="K27" s="147">
        <f t="shared" si="0"/>
        <v>0</v>
      </c>
      <c r="L27" s="81" t="str">
        <f t="shared" si="1"/>
        <v>не нужно</v>
      </c>
    </row>
    <row r="28" spans="1:15" ht="14.85" customHeight="1">
      <c r="A28" s="81" t="s">
        <v>362</v>
      </c>
      <c r="K28" s="147">
        <f t="shared" si="0"/>
        <v>0</v>
      </c>
      <c r="L28" s="81" t="str">
        <f t="shared" si="1"/>
        <v>не нужно</v>
      </c>
    </row>
    <row r="29" spans="1:15" ht="14.85" customHeight="1">
      <c r="A29" s="81" t="s">
        <v>363</v>
      </c>
      <c r="K29" s="147">
        <f t="shared" si="0"/>
        <v>0</v>
      </c>
      <c r="L29" s="81" t="str">
        <f t="shared" si="1"/>
        <v>не нужно</v>
      </c>
    </row>
    <row r="30" spans="1:15" ht="14.85" customHeight="1">
      <c r="A30" s="81" t="s">
        <v>364</v>
      </c>
      <c r="K30" s="147">
        <f t="shared" si="0"/>
        <v>0</v>
      </c>
      <c r="L30" s="81" t="str">
        <f t="shared" si="1"/>
        <v>не нужно</v>
      </c>
    </row>
    <row r="31" spans="1:15" ht="14.85" customHeight="1">
      <c r="A31" s="81" t="s">
        <v>365</v>
      </c>
      <c r="K31" s="147">
        <f t="shared" si="0"/>
        <v>0</v>
      </c>
      <c r="L31" s="81" t="str">
        <f t="shared" si="1"/>
        <v>не нужно</v>
      </c>
    </row>
    <row r="32" spans="1:15" ht="14.85" customHeight="1">
      <c r="A32" s="81" t="s">
        <v>366</v>
      </c>
      <c r="K32" s="147">
        <f t="shared" si="0"/>
        <v>0</v>
      </c>
      <c r="L32" s="81" t="str">
        <f t="shared" si="1"/>
        <v>не нужно</v>
      </c>
    </row>
    <row r="33" spans="1:12" ht="14.85" customHeight="1">
      <c r="A33" s="81" t="s">
        <v>367</v>
      </c>
      <c r="K33" s="147">
        <f t="shared" si="0"/>
        <v>0</v>
      </c>
      <c r="L33" s="81" t="str">
        <f t="shared" si="1"/>
        <v>не нужно</v>
      </c>
    </row>
    <row r="34" spans="1:12" ht="14.85" customHeight="1">
      <c r="A34" s="81" t="s">
        <v>368</v>
      </c>
      <c r="K34" s="147">
        <f t="shared" si="0"/>
        <v>0</v>
      </c>
      <c r="L34" s="81" t="str">
        <f t="shared" si="1"/>
        <v>не нужно</v>
      </c>
    </row>
    <row r="35" spans="1:12" ht="14.85" customHeight="1">
      <c r="A35" s="81" t="s">
        <v>369</v>
      </c>
      <c r="K35" s="147">
        <f t="shared" si="0"/>
        <v>0</v>
      </c>
      <c r="L35" s="81" t="str">
        <f t="shared" si="1"/>
        <v>не нужно</v>
      </c>
    </row>
    <row r="36" spans="1:12" ht="14.85" customHeight="1">
      <c r="A36" s="81" t="s">
        <v>370</v>
      </c>
      <c r="K36" s="147">
        <f t="shared" si="0"/>
        <v>0</v>
      </c>
      <c r="L36" s="81" t="str">
        <f t="shared" si="1"/>
        <v>не нужно</v>
      </c>
    </row>
    <row r="37" spans="1:12" ht="14.85" customHeight="1">
      <c r="A37" s="81" t="s">
        <v>371</v>
      </c>
      <c r="K37" s="147">
        <f t="shared" si="0"/>
        <v>0</v>
      </c>
      <c r="L37" s="81" t="str">
        <f t="shared" si="1"/>
        <v>не нужно</v>
      </c>
    </row>
    <row r="38" spans="1:12" ht="14.85" customHeight="1">
      <c r="A38" s="81" t="s">
        <v>372</v>
      </c>
      <c r="K38" s="147">
        <f t="shared" si="0"/>
        <v>0</v>
      </c>
      <c r="L38" s="81" t="str">
        <f t="shared" si="1"/>
        <v>не нужно</v>
      </c>
    </row>
    <row r="39" spans="1:12" ht="14.85" customHeight="1">
      <c r="A39" s="81" t="s">
        <v>373</v>
      </c>
      <c r="K39" s="147">
        <f t="shared" si="0"/>
        <v>0</v>
      </c>
      <c r="L39" s="81" t="str">
        <f t="shared" si="1"/>
        <v>не нужно</v>
      </c>
    </row>
    <row r="40" spans="1:12" ht="14.85" customHeight="1">
      <c r="A40" s="81" t="s">
        <v>374</v>
      </c>
      <c r="K40" s="147">
        <f t="shared" si="0"/>
        <v>0</v>
      </c>
      <c r="L40" s="81" t="str">
        <f t="shared" si="1"/>
        <v>не нужно</v>
      </c>
    </row>
    <row r="41" spans="1:12" ht="14.85" customHeight="1">
      <c r="A41" s="81" t="s">
        <v>375</v>
      </c>
      <c r="K41" s="147">
        <f t="shared" si="0"/>
        <v>0</v>
      </c>
      <c r="L41" s="81" t="str">
        <f t="shared" si="1"/>
        <v>не нужно</v>
      </c>
    </row>
    <row r="42" spans="1:12" ht="14.85" customHeight="1">
      <c r="A42" s="81" t="s">
        <v>376</v>
      </c>
      <c r="K42" s="147">
        <f t="shared" si="0"/>
        <v>0</v>
      </c>
      <c r="L42" s="81" t="str">
        <f t="shared" si="1"/>
        <v>не нужно</v>
      </c>
    </row>
    <row r="43" spans="1:12" ht="14.85" customHeight="1">
      <c r="A43" s="81" t="s">
        <v>377</v>
      </c>
      <c r="K43" s="147">
        <f t="shared" si="0"/>
        <v>0</v>
      </c>
      <c r="L43" s="81" t="str">
        <f t="shared" si="1"/>
        <v>не нужно</v>
      </c>
    </row>
    <row r="44" spans="1:12" ht="14.85" customHeight="1">
      <c r="A44" s="81" t="s">
        <v>378</v>
      </c>
      <c r="K44" s="147">
        <f t="shared" si="0"/>
        <v>0</v>
      </c>
      <c r="L44" s="81" t="str">
        <f t="shared" si="1"/>
        <v>не нужно</v>
      </c>
    </row>
    <row r="45" spans="1:12" ht="14.85" customHeight="1">
      <c r="A45" s="81" t="s">
        <v>379</v>
      </c>
      <c r="K45" s="147">
        <f t="shared" si="0"/>
        <v>0</v>
      </c>
      <c r="L45" s="81" t="str">
        <f t="shared" si="1"/>
        <v>не нужно</v>
      </c>
    </row>
    <row r="46" spans="1:12" ht="14.85" customHeight="1">
      <c r="A46" s="81" t="s">
        <v>380</v>
      </c>
      <c r="K46" s="147">
        <f t="shared" si="0"/>
        <v>0</v>
      </c>
      <c r="L46" s="81" t="str">
        <f t="shared" si="1"/>
        <v>не нужно</v>
      </c>
    </row>
    <row r="47" spans="1:12" ht="14.85" customHeight="1">
      <c r="A47" s="81" t="s">
        <v>381</v>
      </c>
      <c r="K47" s="147">
        <f t="shared" si="0"/>
        <v>0</v>
      </c>
      <c r="L47" s="81" t="str">
        <f t="shared" si="1"/>
        <v>не нужно</v>
      </c>
    </row>
    <row r="48" spans="1:12" ht="14.85" customHeight="1">
      <c r="A48" s="81" t="s">
        <v>382</v>
      </c>
      <c r="K48" s="147">
        <f t="shared" si="0"/>
        <v>0</v>
      </c>
      <c r="L48" s="81" t="str">
        <f t="shared" si="1"/>
        <v>не нужно</v>
      </c>
    </row>
    <row r="49" spans="1:12" ht="14.85" customHeight="1">
      <c r="A49" s="81" t="s">
        <v>383</v>
      </c>
      <c r="K49" s="147">
        <f t="shared" si="0"/>
        <v>0</v>
      </c>
      <c r="L49" s="81" t="str">
        <f t="shared" si="1"/>
        <v>не нужно</v>
      </c>
    </row>
    <row r="50" spans="1:12" ht="14.85" customHeight="1">
      <c r="A50" s="81" t="s">
        <v>384</v>
      </c>
      <c r="K50" s="147">
        <f t="shared" si="0"/>
        <v>0</v>
      </c>
      <c r="L50" s="81" t="str">
        <f t="shared" si="1"/>
        <v>не нужно</v>
      </c>
    </row>
    <row r="51" spans="1:12" ht="14.85" customHeight="1">
      <c r="A51" s="81" t="s">
        <v>385</v>
      </c>
      <c r="K51" s="147">
        <f t="shared" si="0"/>
        <v>0</v>
      </c>
      <c r="L51" s="81" t="str">
        <f>IF(J51="+",$O$2,VLOOKUP(K51,$N$3:$O$6,2,TRUE))</f>
        <v>не нужно</v>
      </c>
    </row>
    <row r="52" spans="1:12">
      <c r="A52" s="90" t="s">
        <v>386</v>
      </c>
      <c r="B52" s="91"/>
      <c r="C52" s="91"/>
      <c r="D52" s="91"/>
      <c r="E52" s="91"/>
      <c r="F52" s="91"/>
      <c r="G52" s="91"/>
      <c r="H52" s="91"/>
      <c r="I52" s="91"/>
      <c r="J52" s="91"/>
      <c r="K52" s="146"/>
      <c r="L52" s="92"/>
    </row>
    <row r="53" spans="1:12" ht="14.85" customHeight="1">
      <c r="A53" s="81" t="s">
        <v>336</v>
      </c>
      <c r="K53" s="147">
        <f t="shared" ref="K53:K96" si="2">COUNTIF($B53:$J53,"+")</f>
        <v>0</v>
      </c>
      <c r="L53" s="81" t="str">
        <f>IF(J53="+",$O$2,VLOOKUP(K53,$N$3:$O$6,2,TRUE))</f>
        <v>не нужно</v>
      </c>
    </row>
    <row r="54" spans="1:12" ht="14.85" customHeight="1">
      <c r="A54" s="81" t="s">
        <v>387</v>
      </c>
      <c r="K54" s="147">
        <f t="shared" si="2"/>
        <v>0</v>
      </c>
      <c r="L54" s="81" t="str">
        <f t="shared" ref="L54:L117" si="3">IF(J54="+",$O$2,VLOOKUP(K54,$N$3:$O$6,2,TRUE))</f>
        <v>не нужно</v>
      </c>
    </row>
    <row r="55" spans="1:12" ht="14.85" customHeight="1">
      <c r="A55" s="81" t="s">
        <v>361</v>
      </c>
      <c r="K55" s="147">
        <f t="shared" si="2"/>
        <v>0</v>
      </c>
      <c r="L55" s="81" t="str">
        <f t="shared" si="3"/>
        <v>не нужно</v>
      </c>
    </row>
    <row r="56" spans="1:12" ht="14.85" customHeight="1">
      <c r="A56" s="81" t="s">
        <v>388</v>
      </c>
      <c r="K56" s="147">
        <f t="shared" si="2"/>
        <v>0</v>
      </c>
      <c r="L56" s="81" t="str">
        <f t="shared" si="3"/>
        <v>не нужно</v>
      </c>
    </row>
    <row r="57" spans="1:12" ht="14.85" customHeight="1">
      <c r="A57" s="81" t="s">
        <v>344</v>
      </c>
      <c r="K57" s="147">
        <f t="shared" si="2"/>
        <v>0</v>
      </c>
      <c r="L57" s="81" t="str">
        <f t="shared" si="3"/>
        <v>не нужно</v>
      </c>
    </row>
    <row r="58" spans="1:12" ht="14.85" customHeight="1">
      <c r="A58" s="81" t="s">
        <v>372</v>
      </c>
      <c r="K58" s="147">
        <f t="shared" si="2"/>
        <v>0</v>
      </c>
      <c r="L58" s="81" t="str">
        <f t="shared" si="3"/>
        <v>не нужно</v>
      </c>
    </row>
    <row r="59" spans="1:12" ht="15" customHeight="1">
      <c r="A59" s="81" t="s">
        <v>371</v>
      </c>
      <c r="K59" s="147">
        <f t="shared" si="2"/>
        <v>0</v>
      </c>
      <c r="L59" s="81" t="str">
        <f t="shared" si="3"/>
        <v>не нужно</v>
      </c>
    </row>
    <row r="60" spans="1:12" ht="14.85" customHeight="1">
      <c r="A60" s="81" t="s">
        <v>389</v>
      </c>
      <c r="K60" s="147">
        <f t="shared" si="2"/>
        <v>0</v>
      </c>
      <c r="L60" s="81" t="str">
        <f t="shared" si="3"/>
        <v>не нужно</v>
      </c>
    </row>
    <row r="61" spans="1:12" ht="14.85" customHeight="1">
      <c r="A61" s="81" t="s">
        <v>358</v>
      </c>
      <c r="K61" s="147">
        <f t="shared" si="2"/>
        <v>0</v>
      </c>
      <c r="L61" s="81" t="str">
        <f t="shared" si="3"/>
        <v>не нужно</v>
      </c>
    </row>
    <row r="62" spans="1:12" ht="14.85" customHeight="1">
      <c r="A62" s="81" t="s">
        <v>380</v>
      </c>
      <c r="K62" s="147">
        <f t="shared" si="2"/>
        <v>0</v>
      </c>
      <c r="L62" s="81" t="str">
        <f t="shared" si="3"/>
        <v>не нужно</v>
      </c>
    </row>
    <row r="63" spans="1:12" ht="14.85" customHeight="1">
      <c r="A63" s="81" t="s">
        <v>377</v>
      </c>
      <c r="K63" s="147">
        <f t="shared" si="2"/>
        <v>0</v>
      </c>
      <c r="L63" s="81" t="str">
        <f t="shared" si="3"/>
        <v>не нужно</v>
      </c>
    </row>
    <row r="64" spans="1:12" ht="14.85" customHeight="1">
      <c r="A64" s="81" t="s">
        <v>376</v>
      </c>
      <c r="K64" s="147">
        <f t="shared" si="2"/>
        <v>0</v>
      </c>
      <c r="L64" s="81" t="str">
        <f t="shared" si="3"/>
        <v>не нужно</v>
      </c>
    </row>
    <row r="65" spans="1:12" ht="14.85" customHeight="1">
      <c r="A65" s="81" t="s">
        <v>375</v>
      </c>
      <c r="K65" s="147">
        <f t="shared" si="2"/>
        <v>0</v>
      </c>
      <c r="L65" s="81" t="str">
        <f t="shared" si="3"/>
        <v>не нужно</v>
      </c>
    </row>
    <row r="66" spans="1:12" ht="14.85" customHeight="1">
      <c r="A66" s="81" t="s">
        <v>373</v>
      </c>
      <c r="K66" s="147">
        <f t="shared" si="2"/>
        <v>0</v>
      </c>
      <c r="L66" s="81" t="str">
        <f t="shared" si="3"/>
        <v>не нужно</v>
      </c>
    </row>
    <row r="67" spans="1:12" ht="14.85" customHeight="1">
      <c r="A67" s="81" t="s">
        <v>374</v>
      </c>
      <c r="K67" s="147">
        <f t="shared" si="2"/>
        <v>0</v>
      </c>
      <c r="L67" s="81" t="str">
        <f t="shared" si="3"/>
        <v>не нужно</v>
      </c>
    </row>
    <row r="68" spans="1:12" ht="14.85" customHeight="1">
      <c r="A68" s="81" t="s">
        <v>378</v>
      </c>
      <c r="K68" s="147">
        <f t="shared" si="2"/>
        <v>0</v>
      </c>
      <c r="L68" s="81" t="str">
        <f t="shared" si="3"/>
        <v>не нужно</v>
      </c>
    </row>
    <row r="69" spans="1:12" ht="14.85" customHeight="1">
      <c r="A69" s="81" t="s">
        <v>390</v>
      </c>
      <c r="K69" s="147">
        <f t="shared" si="2"/>
        <v>0</v>
      </c>
      <c r="L69" s="81" t="str">
        <f t="shared" si="3"/>
        <v>не нужно</v>
      </c>
    </row>
    <row r="70" spans="1:12" ht="14.85" customHeight="1">
      <c r="A70" s="81" t="s">
        <v>391</v>
      </c>
      <c r="K70" s="147">
        <f t="shared" si="2"/>
        <v>0</v>
      </c>
      <c r="L70" s="81" t="str">
        <f t="shared" si="3"/>
        <v>не нужно</v>
      </c>
    </row>
    <row r="71" spans="1:12" ht="14.85" customHeight="1">
      <c r="A71" s="81" t="s">
        <v>392</v>
      </c>
      <c r="K71" s="147">
        <f t="shared" si="2"/>
        <v>0</v>
      </c>
      <c r="L71" s="81" t="str">
        <f t="shared" si="3"/>
        <v>не нужно</v>
      </c>
    </row>
    <row r="72" spans="1:12" ht="14.85" customHeight="1">
      <c r="A72" s="81" t="s">
        <v>393</v>
      </c>
      <c r="K72" s="147">
        <f t="shared" si="2"/>
        <v>0</v>
      </c>
      <c r="L72" s="81" t="str">
        <f t="shared" si="3"/>
        <v>не нужно</v>
      </c>
    </row>
    <row r="73" spans="1:12" ht="14.85" customHeight="1">
      <c r="A73" s="81" t="s">
        <v>394</v>
      </c>
      <c r="K73" s="147">
        <f t="shared" si="2"/>
        <v>0</v>
      </c>
      <c r="L73" s="81" t="str">
        <f t="shared" si="3"/>
        <v>не нужно</v>
      </c>
    </row>
    <row r="74" spans="1:12" ht="14.85" customHeight="1">
      <c r="A74" s="81" t="s">
        <v>395</v>
      </c>
      <c r="K74" s="147">
        <f t="shared" si="2"/>
        <v>0</v>
      </c>
      <c r="L74" s="81" t="str">
        <f t="shared" si="3"/>
        <v>не нужно</v>
      </c>
    </row>
    <row r="75" spans="1:12" ht="14.85" customHeight="1">
      <c r="A75" s="81" t="s">
        <v>396</v>
      </c>
      <c r="K75" s="147">
        <f t="shared" si="2"/>
        <v>0</v>
      </c>
      <c r="L75" s="81" t="str">
        <f t="shared" si="3"/>
        <v>не нужно</v>
      </c>
    </row>
    <row r="76" spans="1:12" ht="14.85" customHeight="1">
      <c r="A76" s="81" t="s">
        <v>397</v>
      </c>
      <c r="K76" s="147">
        <f t="shared" si="2"/>
        <v>0</v>
      </c>
      <c r="L76" s="81" t="str">
        <f t="shared" si="3"/>
        <v>не нужно</v>
      </c>
    </row>
    <row r="77" spans="1:12" ht="14.85" customHeight="1">
      <c r="A77" s="81" t="s">
        <v>398</v>
      </c>
      <c r="K77" s="147">
        <f t="shared" si="2"/>
        <v>0</v>
      </c>
      <c r="L77" s="81" t="str">
        <f t="shared" si="3"/>
        <v>не нужно</v>
      </c>
    </row>
    <row r="78" spans="1:12" ht="14.85" customHeight="1">
      <c r="A78" s="81" t="s">
        <v>399</v>
      </c>
      <c r="K78" s="147">
        <f t="shared" si="2"/>
        <v>0</v>
      </c>
      <c r="L78" s="81" t="str">
        <f t="shared" si="3"/>
        <v>не нужно</v>
      </c>
    </row>
    <row r="79" spans="1:12" ht="14.85" customHeight="1">
      <c r="A79" s="81" t="s">
        <v>346</v>
      </c>
      <c r="K79" s="147">
        <f t="shared" si="2"/>
        <v>0</v>
      </c>
      <c r="L79" s="81" t="str">
        <f t="shared" si="3"/>
        <v>не нужно</v>
      </c>
    </row>
    <row r="80" spans="1:12" ht="14.85" customHeight="1">
      <c r="A80" s="81" t="s">
        <v>400</v>
      </c>
      <c r="K80" s="147">
        <f t="shared" si="2"/>
        <v>0</v>
      </c>
      <c r="L80" s="81" t="str">
        <f t="shared" si="3"/>
        <v>не нужно</v>
      </c>
    </row>
    <row r="81" spans="1:12" ht="14.85" customHeight="1">
      <c r="A81" s="81" t="s">
        <v>352</v>
      </c>
      <c r="K81" s="147">
        <f t="shared" si="2"/>
        <v>0</v>
      </c>
      <c r="L81" s="81" t="str">
        <f t="shared" si="3"/>
        <v>не нужно</v>
      </c>
    </row>
    <row r="82" spans="1:12" ht="14.85" customHeight="1">
      <c r="A82" s="81" t="s">
        <v>401</v>
      </c>
      <c r="K82" s="147">
        <f t="shared" si="2"/>
        <v>0</v>
      </c>
      <c r="L82" s="81" t="str">
        <f t="shared" si="3"/>
        <v>не нужно</v>
      </c>
    </row>
    <row r="83" spans="1:12" ht="14.85" customHeight="1">
      <c r="A83" s="81" t="s">
        <v>360</v>
      </c>
      <c r="K83" s="147">
        <f t="shared" si="2"/>
        <v>0</v>
      </c>
      <c r="L83" s="81" t="str">
        <f t="shared" si="3"/>
        <v>не нужно</v>
      </c>
    </row>
    <row r="84" spans="1:12" ht="14.85" customHeight="1">
      <c r="A84" s="81" t="s">
        <v>402</v>
      </c>
      <c r="K84" s="147">
        <f t="shared" si="2"/>
        <v>0</v>
      </c>
      <c r="L84" s="81" t="str">
        <f t="shared" si="3"/>
        <v>не нужно</v>
      </c>
    </row>
    <row r="85" spans="1:12" ht="14.85" customHeight="1">
      <c r="A85" s="81" t="s">
        <v>53</v>
      </c>
      <c r="K85" s="147">
        <f t="shared" si="2"/>
        <v>0</v>
      </c>
      <c r="L85" s="81" t="str">
        <f t="shared" si="3"/>
        <v>не нужно</v>
      </c>
    </row>
    <row r="86" spans="1:12" ht="14.85" customHeight="1">
      <c r="A86" s="81" t="s">
        <v>403</v>
      </c>
      <c r="K86" s="147">
        <f t="shared" si="2"/>
        <v>0</v>
      </c>
      <c r="L86" s="81" t="str">
        <f t="shared" si="3"/>
        <v>не нужно</v>
      </c>
    </row>
    <row r="87" spans="1:12" ht="14.85" customHeight="1">
      <c r="A87" s="81" t="s">
        <v>404</v>
      </c>
      <c r="K87" s="147">
        <f t="shared" si="2"/>
        <v>0</v>
      </c>
      <c r="L87" s="81" t="str">
        <f t="shared" si="3"/>
        <v>не нужно</v>
      </c>
    </row>
    <row r="88" spans="1:12" ht="14.85" customHeight="1">
      <c r="K88" s="147">
        <f t="shared" si="2"/>
        <v>0</v>
      </c>
      <c r="L88" s="81" t="str">
        <f t="shared" si="3"/>
        <v>не нужно</v>
      </c>
    </row>
    <row r="89" spans="1:12" ht="14.85" customHeight="1">
      <c r="K89" s="147">
        <f t="shared" si="2"/>
        <v>0</v>
      </c>
      <c r="L89" s="81" t="str">
        <f t="shared" si="3"/>
        <v>не нужно</v>
      </c>
    </row>
    <row r="90" spans="1:12" ht="14.85" customHeight="1">
      <c r="K90" s="147">
        <f t="shared" si="2"/>
        <v>0</v>
      </c>
      <c r="L90" s="81" t="str">
        <f t="shared" si="3"/>
        <v>не нужно</v>
      </c>
    </row>
    <row r="91" spans="1:12" ht="14.85" customHeight="1">
      <c r="K91" s="147">
        <f t="shared" si="2"/>
        <v>0</v>
      </c>
      <c r="L91" s="81" t="str">
        <f t="shared" si="3"/>
        <v>не нужно</v>
      </c>
    </row>
    <row r="92" spans="1:12" ht="14.85" customHeight="1">
      <c r="K92" s="147">
        <f t="shared" si="2"/>
        <v>0</v>
      </c>
      <c r="L92" s="81" t="str">
        <f t="shared" si="3"/>
        <v>не нужно</v>
      </c>
    </row>
    <row r="93" spans="1:12" ht="14.85" customHeight="1">
      <c r="K93" s="147">
        <f t="shared" si="2"/>
        <v>0</v>
      </c>
      <c r="L93" s="81" t="str">
        <f t="shared" si="3"/>
        <v>не нужно</v>
      </c>
    </row>
    <row r="94" spans="1:12" ht="14.85" customHeight="1">
      <c r="K94" s="147">
        <f t="shared" si="2"/>
        <v>0</v>
      </c>
      <c r="L94" s="81" t="str">
        <f t="shared" si="3"/>
        <v>не нужно</v>
      </c>
    </row>
    <row r="95" spans="1:12" ht="14.85" customHeight="1">
      <c r="K95" s="147">
        <f t="shared" si="2"/>
        <v>0</v>
      </c>
      <c r="L95" s="81" t="str">
        <f t="shared" si="3"/>
        <v>не нужно</v>
      </c>
    </row>
    <row r="96" spans="1:12" ht="14.85" customHeight="1">
      <c r="K96" s="147">
        <f t="shared" si="2"/>
        <v>0</v>
      </c>
      <c r="L96" s="81" t="str">
        <f t="shared" si="3"/>
        <v>не нужно</v>
      </c>
    </row>
    <row r="97" spans="1:12">
      <c r="A97" s="90" t="s">
        <v>405</v>
      </c>
      <c r="B97" s="91"/>
      <c r="C97" s="91"/>
      <c r="D97" s="91"/>
      <c r="E97" s="91"/>
      <c r="F97" s="91"/>
      <c r="G97" s="91"/>
      <c r="H97" s="91"/>
      <c r="I97" s="91"/>
      <c r="J97" s="91"/>
      <c r="K97" s="146"/>
      <c r="L97" s="92"/>
    </row>
    <row r="98" spans="1:12" ht="14.85" customHeight="1">
      <c r="A98" s="81" t="s">
        <v>406</v>
      </c>
      <c r="K98" s="147">
        <f t="shared" ref="K98:K122" si="4">COUNTIF($B98:$J98,"+")</f>
        <v>0</v>
      </c>
      <c r="L98" s="81" t="str">
        <f t="shared" si="3"/>
        <v>не нужно</v>
      </c>
    </row>
    <row r="99" spans="1:12" ht="14.85" customHeight="1">
      <c r="A99" s="81" t="s">
        <v>407</v>
      </c>
      <c r="K99" s="147">
        <f t="shared" si="4"/>
        <v>0</v>
      </c>
      <c r="L99" s="81" t="str">
        <f t="shared" si="3"/>
        <v>не нужно</v>
      </c>
    </row>
    <row r="100" spans="1:12" ht="14.85" customHeight="1">
      <c r="A100" s="81" t="s">
        <v>408</v>
      </c>
      <c r="K100" s="147">
        <f t="shared" si="4"/>
        <v>0</v>
      </c>
      <c r="L100" s="81" t="str">
        <f t="shared" si="3"/>
        <v>не нужно</v>
      </c>
    </row>
    <row r="101" spans="1:12" ht="14.85" customHeight="1">
      <c r="A101" s="81" t="s">
        <v>409</v>
      </c>
      <c r="K101" s="147">
        <f t="shared" si="4"/>
        <v>0</v>
      </c>
      <c r="L101" s="81" t="str">
        <f t="shared" si="3"/>
        <v>не нужно</v>
      </c>
    </row>
    <row r="102" spans="1:12" ht="14.85" customHeight="1">
      <c r="A102" s="81" t="s">
        <v>410</v>
      </c>
      <c r="K102" s="147">
        <f t="shared" si="4"/>
        <v>0</v>
      </c>
      <c r="L102" s="81" t="str">
        <f t="shared" si="3"/>
        <v>не нужно</v>
      </c>
    </row>
    <row r="103" spans="1:12" ht="14.85" customHeight="1">
      <c r="A103" s="81" t="s">
        <v>411</v>
      </c>
      <c r="K103" s="147">
        <f t="shared" si="4"/>
        <v>0</v>
      </c>
      <c r="L103" s="81" t="str">
        <f t="shared" si="3"/>
        <v>не нужно</v>
      </c>
    </row>
    <row r="104" spans="1:12" ht="14.85" customHeight="1">
      <c r="A104" s="81" t="s">
        <v>412</v>
      </c>
      <c r="K104" s="147">
        <f t="shared" si="4"/>
        <v>0</v>
      </c>
      <c r="L104" s="81" t="str">
        <f t="shared" si="3"/>
        <v>не нужно</v>
      </c>
    </row>
    <row r="105" spans="1:12" ht="14.85" customHeight="1">
      <c r="A105" s="81" t="s">
        <v>387</v>
      </c>
      <c r="K105" s="147">
        <f t="shared" si="4"/>
        <v>0</v>
      </c>
      <c r="L105" s="81" t="str">
        <f t="shared" si="3"/>
        <v>не нужно</v>
      </c>
    </row>
    <row r="106" spans="1:12" ht="14.85" customHeight="1">
      <c r="A106" s="81" t="s">
        <v>413</v>
      </c>
      <c r="K106" s="147">
        <f t="shared" si="4"/>
        <v>0</v>
      </c>
      <c r="L106" s="81" t="str">
        <f t="shared" si="3"/>
        <v>не нужно</v>
      </c>
    </row>
    <row r="107" spans="1:12" ht="14.85" customHeight="1">
      <c r="A107" s="81" t="s">
        <v>356</v>
      </c>
      <c r="K107" s="147">
        <f t="shared" si="4"/>
        <v>0</v>
      </c>
      <c r="L107" s="81" t="str">
        <f t="shared" si="3"/>
        <v>не нужно</v>
      </c>
    </row>
    <row r="108" spans="1:12" ht="14.85" customHeight="1">
      <c r="A108" s="81" t="s">
        <v>414</v>
      </c>
      <c r="K108" s="147">
        <f t="shared" si="4"/>
        <v>0</v>
      </c>
      <c r="L108" s="81" t="str">
        <f t="shared" si="3"/>
        <v>не нужно</v>
      </c>
    </row>
    <row r="109" spans="1:12" ht="14.85" customHeight="1">
      <c r="A109" s="81" t="s">
        <v>415</v>
      </c>
      <c r="K109" s="147">
        <f t="shared" si="4"/>
        <v>0</v>
      </c>
      <c r="L109" s="81" t="str">
        <f t="shared" si="3"/>
        <v>не нужно</v>
      </c>
    </row>
    <row r="110" spans="1:12" ht="14.85" customHeight="1">
      <c r="A110" s="81" t="s">
        <v>416</v>
      </c>
      <c r="K110" s="147">
        <f t="shared" si="4"/>
        <v>0</v>
      </c>
      <c r="L110" s="81" t="str">
        <f t="shared" si="3"/>
        <v>не нужно</v>
      </c>
    </row>
    <row r="111" spans="1:12" ht="14.85" customHeight="1">
      <c r="A111" s="81" t="s">
        <v>417</v>
      </c>
      <c r="K111" s="147">
        <f t="shared" si="4"/>
        <v>0</v>
      </c>
      <c r="L111" s="81" t="str">
        <f t="shared" si="3"/>
        <v>не нужно</v>
      </c>
    </row>
    <row r="112" spans="1:12" ht="14.85" customHeight="1">
      <c r="A112" s="81" t="s">
        <v>418</v>
      </c>
      <c r="K112" s="147">
        <f t="shared" si="4"/>
        <v>0</v>
      </c>
      <c r="L112" s="81" t="str">
        <f t="shared" si="3"/>
        <v>не нужно</v>
      </c>
    </row>
    <row r="113" spans="1:12" ht="14.85" customHeight="1">
      <c r="A113" s="81" t="s">
        <v>419</v>
      </c>
      <c r="K113" s="147">
        <f t="shared" si="4"/>
        <v>0</v>
      </c>
      <c r="L113" s="81" t="str">
        <f t="shared" si="3"/>
        <v>не нужно</v>
      </c>
    </row>
    <row r="114" spans="1:12" ht="14.85" customHeight="1">
      <c r="A114" s="81" t="s">
        <v>420</v>
      </c>
      <c r="K114" s="147">
        <f t="shared" si="4"/>
        <v>0</v>
      </c>
      <c r="L114" s="81" t="str">
        <f t="shared" si="3"/>
        <v>не нужно</v>
      </c>
    </row>
    <row r="115" spans="1:12" ht="14.85" customHeight="1">
      <c r="A115" s="81" t="s">
        <v>421</v>
      </c>
      <c r="K115" s="147">
        <f t="shared" si="4"/>
        <v>0</v>
      </c>
      <c r="L115" s="81" t="str">
        <f t="shared" si="3"/>
        <v>не нужно</v>
      </c>
    </row>
    <row r="116" spans="1:12" ht="14.85" customHeight="1">
      <c r="A116" s="81" t="s">
        <v>422</v>
      </c>
      <c r="K116" s="147">
        <f t="shared" si="4"/>
        <v>0</v>
      </c>
      <c r="L116" s="81" t="str">
        <f t="shared" si="3"/>
        <v>не нужно</v>
      </c>
    </row>
    <row r="117" spans="1:12" ht="14.85" customHeight="1">
      <c r="A117" s="81" t="s">
        <v>423</v>
      </c>
      <c r="K117" s="147">
        <f t="shared" si="4"/>
        <v>0</v>
      </c>
      <c r="L117" s="81" t="str">
        <f t="shared" si="3"/>
        <v>не нужно</v>
      </c>
    </row>
    <row r="118" spans="1:12" ht="14.85" customHeight="1">
      <c r="A118" s="81" t="s">
        <v>424</v>
      </c>
      <c r="K118" s="147">
        <f t="shared" si="4"/>
        <v>0</v>
      </c>
      <c r="L118" s="81" t="str">
        <f t="shared" ref="L118:L122" si="5">IF(J118="+",$O$2,VLOOKUP(K118,$N$3:$O$6,2,TRUE))</f>
        <v>не нужно</v>
      </c>
    </row>
    <row r="119" spans="1:12" ht="14.85" customHeight="1">
      <c r="A119" s="81" t="s">
        <v>364</v>
      </c>
      <c r="K119" s="147">
        <f t="shared" si="4"/>
        <v>0</v>
      </c>
      <c r="L119" s="81" t="str">
        <f t="shared" si="5"/>
        <v>не нужно</v>
      </c>
    </row>
    <row r="120" spans="1:12" ht="14.85" customHeight="1">
      <c r="K120" s="147">
        <f t="shared" si="4"/>
        <v>0</v>
      </c>
      <c r="L120" s="81" t="str">
        <f t="shared" si="5"/>
        <v>не нужно</v>
      </c>
    </row>
    <row r="121" spans="1:12" ht="14.85" customHeight="1">
      <c r="K121" s="147">
        <f t="shared" si="4"/>
        <v>0</v>
      </c>
      <c r="L121" s="81" t="str">
        <f t="shared" si="5"/>
        <v>не нужно</v>
      </c>
    </row>
    <row r="122" spans="1:12" ht="14.85" customHeight="1">
      <c r="K122" s="147">
        <f t="shared" si="4"/>
        <v>0</v>
      </c>
      <c r="L122" s="81" t="str">
        <f t="shared" si="5"/>
        <v>не нужно</v>
      </c>
    </row>
    <row r="123" spans="1:12">
      <c r="A123" s="90" t="s">
        <v>425</v>
      </c>
      <c r="B123" s="91"/>
      <c r="C123" s="91"/>
      <c r="D123" s="91"/>
      <c r="E123" s="91"/>
      <c r="F123" s="91"/>
      <c r="G123" s="91"/>
      <c r="H123" s="91"/>
      <c r="I123" s="91"/>
      <c r="J123" s="91"/>
      <c r="K123" s="146"/>
      <c r="L123" s="92"/>
    </row>
    <row r="124" spans="1:12" ht="14.85" customHeight="1">
      <c r="A124" s="81" t="s">
        <v>426</v>
      </c>
      <c r="K124" s="147">
        <f t="shared" ref="K124:K159" si="6">COUNTIF($B124:$J124,"+")</f>
        <v>0</v>
      </c>
      <c r="L124" s="81" t="str">
        <f t="shared" ref="L124:L187" si="7">IF(J124="+",$O$2,VLOOKUP(K124,$N$3:$O$6,2,TRUE))</f>
        <v>не нужно</v>
      </c>
    </row>
    <row r="125" spans="1:12" ht="14.85" customHeight="1">
      <c r="A125" s="81" t="s">
        <v>427</v>
      </c>
      <c r="K125" s="147">
        <f t="shared" si="6"/>
        <v>0</v>
      </c>
      <c r="L125" s="81" t="str">
        <f t="shared" si="7"/>
        <v>не нужно</v>
      </c>
    </row>
    <row r="126" spans="1:12" ht="14.85" customHeight="1">
      <c r="A126" s="81" t="s">
        <v>428</v>
      </c>
      <c r="K126" s="147">
        <f t="shared" si="6"/>
        <v>0</v>
      </c>
      <c r="L126" s="81" t="str">
        <f t="shared" si="7"/>
        <v>не нужно</v>
      </c>
    </row>
    <row r="127" spans="1:12" ht="14.85" customHeight="1">
      <c r="A127" s="81" t="s">
        <v>429</v>
      </c>
      <c r="K127" s="147">
        <f t="shared" si="6"/>
        <v>0</v>
      </c>
      <c r="L127" s="81" t="str">
        <f t="shared" si="7"/>
        <v>не нужно</v>
      </c>
    </row>
    <row r="128" spans="1:12" ht="14.85" customHeight="1">
      <c r="A128" s="81" t="s">
        <v>430</v>
      </c>
      <c r="K128" s="147">
        <f t="shared" si="6"/>
        <v>0</v>
      </c>
      <c r="L128" s="81" t="str">
        <f t="shared" si="7"/>
        <v>не нужно</v>
      </c>
    </row>
    <row r="129" spans="1:12" ht="14.85" customHeight="1">
      <c r="A129" s="81" t="s">
        <v>431</v>
      </c>
      <c r="K129" s="147">
        <f t="shared" si="6"/>
        <v>0</v>
      </c>
      <c r="L129" s="81" t="str">
        <f t="shared" si="7"/>
        <v>не нужно</v>
      </c>
    </row>
    <row r="130" spans="1:12" ht="14.85" customHeight="1">
      <c r="A130" s="81" t="s">
        <v>432</v>
      </c>
      <c r="K130" s="147">
        <f t="shared" si="6"/>
        <v>0</v>
      </c>
      <c r="L130" s="81" t="str">
        <f t="shared" si="7"/>
        <v>не нужно</v>
      </c>
    </row>
    <row r="131" spans="1:12" ht="14.85" customHeight="1">
      <c r="A131" s="81" t="s">
        <v>433</v>
      </c>
      <c r="K131" s="147">
        <f t="shared" si="6"/>
        <v>0</v>
      </c>
      <c r="L131" s="81" t="str">
        <f t="shared" si="7"/>
        <v>не нужно</v>
      </c>
    </row>
    <row r="132" spans="1:12" ht="14.85" customHeight="1">
      <c r="A132" s="81" t="s">
        <v>434</v>
      </c>
      <c r="K132" s="147">
        <f t="shared" si="6"/>
        <v>0</v>
      </c>
      <c r="L132" s="81" t="str">
        <f t="shared" si="7"/>
        <v>не нужно</v>
      </c>
    </row>
    <row r="133" spans="1:12" ht="14.85" customHeight="1">
      <c r="A133" s="81" t="s">
        <v>435</v>
      </c>
      <c r="K133" s="147">
        <f t="shared" si="6"/>
        <v>0</v>
      </c>
      <c r="L133" s="81" t="str">
        <f t="shared" si="7"/>
        <v>не нужно</v>
      </c>
    </row>
    <row r="134" spans="1:12" ht="14.85" customHeight="1">
      <c r="A134" s="81" t="s">
        <v>436</v>
      </c>
      <c r="K134" s="147">
        <f t="shared" si="6"/>
        <v>0</v>
      </c>
      <c r="L134" s="81" t="str">
        <f t="shared" si="7"/>
        <v>не нужно</v>
      </c>
    </row>
    <row r="135" spans="1:12" ht="14.85" customHeight="1">
      <c r="A135" s="81" t="s">
        <v>437</v>
      </c>
      <c r="K135" s="147">
        <f t="shared" si="6"/>
        <v>0</v>
      </c>
      <c r="L135" s="81" t="str">
        <f t="shared" si="7"/>
        <v>не нужно</v>
      </c>
    </row>
    <row r="136" spans="1:12" ht="14.85" customHeight="1">
      <c r="A136" s="81" t="s">
        <v>438</v>
      </c>
      <c r="K136" s="147">
        <f t="shared" si="6"/>
        <v>0</v>
      </c>
      <c r="L136" s="81" t="str">
        <f t="shared" si="7"/>
        <v>не нужно</v>
      </c>
    </row>
    <row r="137" spans="1:12" ht="14.85" customHeight="1">
      <c r="A137" s="81" t="s">
        <v>439</v>
      </c>
      <c r="K137" s="147">
        <f t="shared" si="6"/>
        <v>0</v>
      </c>
      <c r="L137" s="81" t="str">
        <f t="shared" si="7"/>
        <v>не нужно</v>
      </c>
    </row>
    <row r="138" spans="1:12" ht="15" customHeight="1">
      <c r="A138" s="98" t="s">
        <v>440</v>
      </c>
      <c r="K138" s="147">
        <f t="shared" si="6"/>
        <v>0</v>
      </c>
      <c r="L138" s="81" t="str">
        <f t="shared" si="7"/>
        <v>не нужно</v>
      </c>
    </row>
    <row r="139" spans="1:12" ht="14.85" customHeight="1">
      <c r="A139" s="98" t="s">
        <v>441</v>
      </c>
      <c r="K139" s="147">
        <f t="shared" si="6"/>
        <v>0</v>
      </c>
      <c r="L139" s="81" t="str">
        <f t="shared" si="7"/>
        <v>не нужно</v>
      </c>
    </row>
    <row r="140" spans="1:12" ht="14.85" customHeight="1">
      <c r="A140" s="81" t="s">
        <v>442</v>
      </c>
      <c r="K140" s="147">
        <f t="shared" si="6"/>
        <v>0</v>
      </c>
      <c r="L140" s="81" t="str">
        <f t="shared" si="7"/>
        <v>не нужно</v>
      </c>
    </row>
    <row r="141" spans="1:12" ht="14.85" customHeight="1">
      <c r="A141" s="81" t="s">
        <v>443</v>
      </c>
      <c r="K141" s="147">
        <f t="shared" si="6"/>
        <v>0</v>
      </c>
      <c r="L141" s="81" t="str">
        <f t="shared" si="7"/>
        <v>не нужно</v>
      </c>
    </row>
    <row r="142" spans="1:12" ht="14.85" customHeight="1">
      <c r="A142" s="81" t="s">
        <v>444</v>
      </c>
      <c r="K142" s="147">
        <f t="shared" si="6"/>
        <v>0</v>
      </c>
      <c r="L142" s="81" t="str">
        <f t="shared" si="7"/>
        <v>не нужно</v>
      </c>
    </row>
    <row r="143" spans="1:12" ht="14.85" customHeight="1">
      <c r="A143" s="81" t="s">
        <v>445</v>
      </c>
      <c r="K143" s="147">
        <f t="shared" si="6"/>
        <v>0</v>
      </c>
      <c r="L143" s="81" t="str">
        <f t="shared" si="7"/>
        <v>не нужно</v>
      </c>
    </row>
    <row r="144" spans="1:12" ht="14.85" customHeight="1">
      <c r="A144" s="81" t="s">
        <v>446</v>
      </c>
      <c r="K144" s="147">
        <f t="shared" si="6"/>
        <v>0</v>
      </c>
      <c r="L144" s="81" t="str">
        <f t="shared" si="7"/>
        <v>не нужно</v>
      </c>
    </row>
    <row r="145" spans="1:12" ht="14.85" customHeight="1">
      <c r="A145" s="81" t="s">
        <v>447</v>
      </c>
      <c r="K145" s="147">
        <f t="shared" si="6"/>
        <v>0</v>
      </c>
      <c r="L145" s="81" t="str">
        <f t="shared" si="7"/>
        <v>не нужно</v>
      </c>
    </row>
    <row r="146" spans="1:12" ht="14.85" customHeight="1">
      <c r="A146" s="81" t="s">
        <v>448</v>
      </c>
      <c r="K146" s="147">
        <f t="shared" si="6"/>
        <v>0</v>
      </c>
      <c r="L146" s="81" t="str">
        <f t="shared" si="7"/>
        <v>не нужно</v>
      </c>
    </row>
    <row r="147" spans="1:12" ht="14.85" customHeight="1">
      <c r="A147" s="81" t="s">
        <v>449</v>
      </c>
      <c r="K147" s="147">
        <f t="shared" si="6"/>
        <v>0</v>
      </c>
      <c r="L147" s="81" t="str">
        <f t="shared" si="7"/>
        <v>не нужно</v>
      </c>
    </row>
    <row r="148" spans="1:12" ht="14.85" customHeight="1">
      <c r="A148" s="81" t="s">
        <v>450</v>
      </c>
      <c r="K148" s="147">
        <f t="shared" si="6"/>
        <v>0</v>
      </c>
      <c r="L148" s="81" t="str">
        <f t="shared" si="7"/>
        <v>не нужно</v>
      </c>
    </row>
    <row r="149" spans="1:12" ht="14.85" customHeight="1">
      <c r="A149" s="81" t="s">
        <v>451</v>
      </c>
      <c r="K149" s="147">
        <f t="shared" si="6"/>
        <v>0</v>
      </c>
      <c r="L149" s="81" t="str">
        <f t="shared" si="7"/>
        <v>не нужно</v>
      </c>
    </row>
    <row r="150" spans="1:12" ht="14.85" customHeight="1">
      <c r="A150" s="99" t="s">
        <v>452</v>
      </c>
      <c r="K150" s="147">
        <f t="shared" si="6"/>
        <v>0</v>
      </c>
      <c r="L150" s="81" t="str">
        <f t="shared" si="7"/>
        <v>не нужно</v>
      </c>
    </row>
    <row r="151" spans="1:12" ht="14.85" customHeight="1">
      <c r="A151" s="81" t="s">
        <v>453</v>
      </c>
      <c r="K151" s="147">
        <f t="shared" si="6"/>
        <v>0</v>
      </c>
      <c r="L151" s="81" t="str">
        <f t="shared" si="7"/>
        <v>не нужно</v>
      </c>
    </row>
    <row r="152" spans="1:12" ht="14.85" customHeight="1">
      <c r="A152" s="81" t="s">
        <v>454</v>
      </c>
      <c r="K152" s="147">
        <f t="shared" si="6"/>
        <v>0</v>
      </c>
      <c r="L152" s="81" t="str">
        <f t="shared" si="7"/>
        <v>не нужно</v>
      </c>
    </row>
    <row r="153" spans="1:12" ht="14.85" customHeight="1">
      <c r="A153" s="81" t="s">
        <v>455</v>
      </c>
      <c r="K153" s="147">
        <f t="shared" si="6"/>
        <v>0</v>
      </c>
      <c r="L153" s="81" t="str">
        <f t="shared" si="7"/>
        <v>не нужно</v>
      </c>
    </row>
    <row r="154" spans="1:12" ht="14.85" customHeight="1">
      <c r="A154" s="81" t="s">
        <v>456</v>
      </c>
      <c r="K154" s="147">
        <f t="shared" si="6"/>
        <v>0</v>
      </c>
      <c r="L154" s="81" t="str">
        <f t="shared" si="7"/>
        <v>не нужно</v>
      </c>
    </row>
    <row r="155" spans="1:12" ht="14.85" customHeight="1">
      <c r="A155" s="81" t="s">
        <v>457</v>
      </c>
      <c r="K155" s="147">
        <f t="shared" si="6"/>
        <v>0</v>
      </c>
      <c r="L155" s="81" t="str">
        <f t="shared" si="7"/>
        <v>не нужно</v>
      </c>
    </row>
    <row r="156" spans="1:12" ht="14.85" customHeight="1">
      <c r="A156" s="81" t="s">
        <v>458</v>
      </c>
      <c r="K156" s="147">
        <f t="shared" si="6"/>
        <v>0</v>
      </c>
      <c r="L156" s="81" t="str">
        <f t="shared" si="7"/>
        <v>не нужно</v>
      </c>
    </row>
    <row r="157" spans="1:12" ht="14.85" customHeight="1">
      <c r="A157" s="81" t="s">
        <v>459</v>
      </c>
      <c r="K157" s="147">
        <f t="shared" si="6"/>
        <v>0</v>
      </c>
      <c r="L157" s="81" t="str">
        <f t="shared" si="7"/>
        <v>не нужно</v>
      </c>
    </row>
    <row r="158" spans="1:12" ht="14.85" customHeight="1">
      <c r="A158" s="81" t="s">
        <v>460</v>
      </c>
      <c r="K158" s="147">
        <f t="shared" si="6"/>
        <v>0</v>
      </c>
      <c r="L158" s="81" t="str">
        <f t="shared" si="7"/>
        <v>не нужно</v>
      </c>
    </row>
    <row r="159" spans="1:12" ht="14.85" customHeight="1">
      <c r="A159" s="81" t="s">
        <v>461</v>
      </c>
      <c r="K159" s="147">
        <f t="shared" si="6"/>
        <v>0</v>
      </c>
      <c r="L159" s="81" t="str">
        <f t="shared" si="7"/>
        <v>не нужно</v>
      </c>
    </row>
    <row r="160" spans="1:12">
      <c r="A160" s="90" t="s">
        <v>462</v>
      </c>
      <c r="B160" s="91"/>
      <c r="C160" s="91"/>
      <c r="D160" s="91"/>
      <c r="E160" s="91"/>
      <c r="F160" s="91"/>
      <c r="G160" s="91"/>
      <c r="H160" s="91"/>
      <c r="I160" s="91"/>
      <c r="J160" s="91"/>
      <c r="K160" s="146"/>
      <c r="L160" s="92"/>
    </row>
    <row r="161" spans="1:12" ht="14.85" customHeight="1">
      <c r="A161" s="81" t="s">
        <v>463</v>
      </c>
      <c r="K161" s="147">
        <f>COUNTIF($B161:$J161,"+")</f>
        <v>0</v>
      </c>
      <c r="L161" s="81" t="str">
        <f t="shared" si="7"/>
        <v>не нужно</v>
      </c>
    </row>
    <row r="162" spans="1:12" ht="29.1" customHeight="1">
      <c r="A162" s="100"/>
      <c r="K162" s="147"/>
      <c r="L162" s="81" t="str">
        <f t="shared" si="7"/>
        <v>не нужно</v>
      </c>
    </row>
    <row r="163" spans="1:12" ht="14.85" customHeight="1">
      <c r="K163" s="147"/>
      <c r="L163" s="81" t="str">
        <f t="shared" si="7"/>
        <v>не нужно</v>
      </c>
    </row>
    <row r="164" spans="1:12" ht="14.85" customHeight="1">
      <c r="K164" s="147"/>
      <c r="L164" s="81" t="str">
        <f t="shared" si="7"/>
        <v>не нужно</v>
      </c>
    </row>
    <row r="165" spans="1:12" ht="14.85" customHeight="1">
      <c r="K165" s="147"/>
      <c r="L165" s="81" t="str">
        <f t="shared" si="7"/>
        <v>не нужно</v>
      </c>
    </row>
    <row r="166" spans="1:12" ht="14.85" customHeight="1">
      <c r="K166" s="147"/>
      <c r="L166" s="81" t="str">
        <f t="shared" si="7"/>
        <v>не нужно</v>
      </c>
    </row>
    <row r="167" spans="1:12" ht="14.85" customHeight="1">
      <c r="K167" s="147"/>
      <c r="L167" s="81" t="str">
        <f t="shared" si="7"/>
        <v>не нужно</v>
      </c>
    </row>
    <row r="168" spans="1:12" ht="14.85" customHeight="1">
      <c r="K168" s="147"/>
      <c r="L168" s="81" t="str">
        <f t="shared" si="7"/>
        <v>не нужно</v>
      </c>
    </row>
    <row r="169" spans="1:12" ht="14.85" customHeight="1">
      <c r="K169" s="147"/>
      <c r="L169" s="81" t="str">
        <f t="shared" si="7"/>
        <v>не нужно</v>
      </c>
    </row>
    <row r="170" spans="1:12" ht="14.85" customHeight="1">
      <c r="K170" s="147"/>
      <c r="L170" s="81" t="str">
        <f t="shared" si="7"/>
        <v>не нужно</v>
      </c>
    </row>
    <row r="171" spans="1:12" ht="14.85" customHeight="1">
      <c r="K171" s="147"/>
      <c r="L171" s="81" t="str">
        <f t="shared" si="7"/>
        <v>не нужно</v>
      </c>
    </row>
    <row r="172" spans="1:12" ht="14.85" customHeight="1">
      <c r="K172" s="147"/>
      <c r="L172" s="81" t="str">
        <f t="shared" si="7"/>
        <v>не нужно</v>
      </c>
    </row>
    <row r="173" spans="1:12" ht="14.85" customHeight="1">
      <c r="A173" s="101"/>
      <c r="K173" s="147"/>
      <c r="L173" s="81" t="str">
        <f t="shared" si="7"/>
        <v>не нужно</v>
      </c>
    </row>
    <row r="174" spans="1:12" ht="14.85" customHeight="1">
      <c r="A174" s="101"/>
      <c r="K174" s="147"/>
      <c r="L174" s="81" t="str">
        <f t="shared" si="7"/>
        <v>не нужно</v>
      </c>
    </row>
    <row r="175" spans="1:12" ht="14.85" customHeight="1">
      <c r="K175" s="147"/>
      <c r="L175" s="81" t="str">
        <f t="shared" si="7"/>
        <v>не нужно</v>
      </c>
    </row>
    <row r="176" spans="1:12" ht="14.85" customHeight="1">
      <c r="K176" s="147"/>
      <c r="L176" s="81" t="str">
        <f t="shared" si="7"/>
        <v>не нужно</v>
      </c>
    </row>
    <row r="177" spans="1:12" ht="14.85" customHeight="1">
      <c r="K177" s="147"/>
      <c r="L177" s="81" t="str">
        <f t="shared" si="7"/>
        <v>не нужно</v>
      </c>
    </row>
    <row r="178" spans="1:12" ht="14.85" customHeight="1">
      <c r="K178" s="147"/>
      <c r="L178" s="81" t="str">
        <f t="shared" si="7"/>
        <v>не нужно</v>
      </c>
    </row>
    <row r="179" spans="1:12" ht="14.85" customHeight="1">
      <c r="K179" s="147"/>
      <c r="L179" s="81" t="str">
        <f t="shared" si="7"/>
        <v>не нужно</v>
      </c>
    </row>
    <row r="180" spans="1:12">
      <c r="A180" s="90" t="s">
        <v>464</v>
      </c>
      <c r="B180" s="91"/>
      <c r="C180" s="91"/>
      <c r="D180" s="91"/>
      <c r="E180" s="91"/>
      <c r="F180" s="91"/>
      <c r="G180" s="91"/>
      <c r="H180" s="91"/>
      <c r="I180" s="91"/>
      <c r="J180" s="91"/>
      <c r="K180" s="146"/>
      <c r="L180" s="92"/>
    </row>
    <row r="181" spans="1:12">
      <c r="A181" s="81" t="s">
        <v>465</v>
      </c>
      <c r="K181" s="147">
        <f t="shared" ref="K181:K206" si="8">COUNTIF($B181:$J181,"+")</f>
        <v>0</v>
      </c>
      <c r="L181" s="81" t="str">
        <f t="shared" si="7"/>
        <v>не нужно</v>
      </c>
    </row>
    <row r="182" spans="1:12">
      <c r="A182" s="81" t="s">
        <v>466</v>
      </c>
      <c r="K182" s="147">
        <f t="shared" si="8"/>
        <v>0</v>
      </c>
      <c r="L182" s="81" t="str">
        <f t="shared" si="7"/>
        <v>не нужно</v>
      </c>
    </row>
    <row r="183" spans="1:12">
      <c r="A183" s="81" t="s">
        <v>467</v>
      </c>
      <c r="K183" s="147">
        <f t="shared" si="8"/>
        <v>0</v>
      </c>
      <c r="L183" s="81" t="str">
        <f t="shared" si="7"/>
        <v>не нужно</v>
      </c>
    </row>
    <row r="184" spans="1:12">
      <c r="A184" s="81" t="s">
        <v>468</v>
      </c>
      <c r="K184" s="147">
        <f t="shared" si="8"/>
        <v>0</v>
      </c>
      <c r="L184" s="81" t="str">
        <f t="shared" si="7"/>
        <v>не нужно</v>
      </c>
    </row>
    <row r="185" spans="1:12">
      <c r="A185" s="81" t="s">
        <v>469</v>
      </c>
      <c r="K185" s="147">
        <f t="shared" si="8"/>
        <v>0</v>
      </c>
      <c r="L185" s="81" t="str">
        <f t="shared" si="7"/>
        <v>не нужно</v>
      </c>
    </row>
    <row r="186" spans="1:12">
      <c r="A186" s="81" t="s">
        <v>470</v>
      </c>
      <c r="K186" s="147">
        <f t="shared" si="8"/>
        <v>0</v>
      </c>
      <c r="L186" s="81" t="str">
        <f t="shared" si="7"/>
        <v>не нужно</v>
      </c>
    </row>
    <row r="187" spans="1:12">
      <c r="A187" s="81" t="s">
        <v>471</v>
      </c>
      <c r="K187" s="147">
        <f t="shared" si="8"/>
        <v>0</v>
      </c>
      <c r="L187" s="81" t="str">
        <f t="shared" si="7"/>
        <v>не нужно</v>
      </c>
    </row>
    <row r="188" spans="1:12">
      <c r="A188" s="81" t="s">
        <v>472</v>
      </c>
      <c r="K188" s="147">
        <f t="shared" si="8"/>
        <v>0</v>
      </c>
      <c r="L188" s="81" t="str">
        <f t="shared" ref="L188:L206" si="9">IF(J188="+",$O$2,VLOOKUP(K188,$N$3:$O$6,2,TRUE))</f>
        <v>не нужно</v>
      </c>
    </row>
    <row r="189" spans="1:12">
      <c r="A189" s="81" t="s">
        <v>473</v>
      </c>
      <c r="K189" s="147">
        <f t="shared" si="8"/>
        <v>0</v>
      </c>
      <c r="L189" s="81" t="str">
        <f t="shared" si="9"/>
        <v>не нужно</v>
      </c>
    </row>
    <row r="190" spans="1:12">
      <c r="A190" s="81" t="s">
        <v>474</v>
      </c>
      <c r="K190" s="147">
        <f t="shared" si="8"/>
        <v>0</v>
      </c>
      <c r="L190" s="81" t="str">
        <f t="shared" si="9"/>
        <v>не нужно</v>
      </c>
    </row>
    <row r="191" spans="1:12">
      <c r="A191" s="81" t="s">
        <v>475</v>
      </c>
      <c r="K191" s="147">
        <f t="shared" si="8"/>
        <v>0</v>
      </c>
      <c r="L191" s="81" t="str">
        <f t="shared" si="9"/>
        <v>не нужно</v>
      </c>
    </row>
    <row r="192" spans="1:12">
      <c r="A192" s="81" t="s">
        <v>476</v>
      </c>
      <c r="K192" s="147">
        <f t="shared" si="8"/>
        <v>0</v>
      </c>
      <c r="L192" s="81" t="str">
        <f t="shared" si="9"/>
        <v>не нужно</v>
      </c>
    </row>
    <row r="193" spans="1:12">
      <c r="A193" s="81" t="s">
        <v>477</v>
      </c>
      <c r="K193" s="147">
        <f t="shared" si="8"/>
        <v>0</v>
      </c>
      <c r="L193" s="81" t="str">
        <f t="shared" si="9"/>
        <v>не нужно</v>
      </c>
    </row>
    <row r="194" spans="1:12">
      <c r="A194" s="81" t="s">
        <v>478</v>
      </c>
      <c r="K194" s="147">
        <f t="shared" si="8"/>
        <v>0</v>
      </c>
      <c r="L194" s="81" t="str">
        <f t="shared" si="9"/>
        <v>не нужно</v>
      </c>
    </row>
    <row r="195" spans="1:12">
      <c r="A195" s="81" t="s">
        <v>479</v>
      </c>
      <c r="K195" s="147">
        <f t="shared" si="8"/>
        <v>0</v>
      </c>
      <c r="L195" s="81" t="str">
        <f t="shared" si="9"/>
        <v>не нужно</v>
      </c>
    </row>
    <row r="196" spans="1:12">
      <c r="A196" s="81" t="s">
        <v>423</v>
      </c>
      <c r="K196" s="147">
        <f t="shared" si="8"/>
        <v>0</v>
      </c>
      <c r="L196" s="81" t="str">
        <f t="shared" si="9"/>
        <v>не нужно</v>
      </c>
    </row>
    <row r="197" spans="1:12">
      <c r="A197" s="81" t="s">
        <v>480</v>
      </c>
      <c r="K197" s="147">
        <f t="shared" si="8"/>
        <v>0</v>
      </c>
      <c r="L197" s="81" t="str">
        <f t="shared" si="9"/>
        <v>не нужно</v>
      </c>
    </row>
    <row r="198" spans="1:12">
      <c r="A198" s="81" t="s">
        <v>481</v>
      </c>
      <c r="K198" s="147">
        <f t="shared" si="8"/>
        <v>0</v>
      </c>
      <c r="L198" s="81" t="str">
        <f t="shared" si="9"/>
        <v>не нужно</v>
      </c>
    </row>
    <row r="199" spans="1:12">
      <c r="A199" s="81" t="s">
        <v>417</v>
      </c>
      <c r="K199" s="147">
        <f t="shared" si="8"/>
        <v>0</v>
      </c>
      <c r="L199" s="81" t="str">
        <f t="shared" si="9"/>
        <v>не нужно</v>
      </c>
    </row>
    <row r="200" spans="1:12">
      <c r="A200" s="81" t="s">
        <v>482</v>
      </c>
      <c r="K200" s="147">
        <f t="shared" si="8"/>
        <v>0</v>
      </c>
      <c r="L200" s="81" t="str">
        <f t="shared" si="9"/>
        <v>не нужно</v>
      </c>
    </row>
    <row r="201" spans="1:12">
      <c r="A201" s="81" t="s">
        <v>483</v>
      </c>
      <c r="K201" s="147">
        <f t="shared" si="8"/>
        <v>0</v>
      </c>
      <c r="L201" s="81" t="str">
        <f t="shared" si="9"/>
        <v>не нужно</v>
      </c>
    </row>
    <row r="202" spans="1:12">
      <c r="A202" s="81" t="s">
        <v>484</v>
      </c>
      <c r="K202" s="147">
        <f t="shared" si="8"/>
        <v>0</v>
      </c>
      <c r="L202" s="81" t="str">
        <f t="shared" si="9"/>
        <v>не нужно</v>
      </c>
    </row>
    <row r="203" spans="1:12">
      <c r="A203" s="81" t="s">
        <v>367</v>
      </c>
      <c r="K203" s="147">
        <f t="shared" si="8"/>
        <v>0</v>
      </c>
      <c r="L203" s="81" t="str">
        <f t="shared" si="9"/>
        <v>не нужно</v>
      </c>
    </row>
    <row r="204" spans="1:12">
      <c r="A204" s="81" t="s">
        <v>485</v>
      </c>
      <c r="K204" s="147">
        <f t="shared" si="8"/>
        <v>0</v>
      </c>
      <c r="L204" s="81" t="str">
        <f t="shared" si="9"/>
        <v>не нужно</v>
      </c>
    </row>
    <row r="205" spans="1:12">
      <c r="A205" s="81" t="s">
        <v>486</v>
      </c>
      <c r="J205" s="81" t="str">
        <f t="shared" ref="J205:J206" si="10">IF($A205&lt;&gt;"","-"," ")</f>
        <v>-</v>
      </c>
      <c r="K205" s="147">
        <f t="shared" si="8"/>
        <v>0</v>
      </c>
      <c r="L205" s="81" t="str">
        <f t="shared" si="9"/>
        <v>не нужно</v>
      </c>
    </row>
    <row r="206" spans="1:12">
      <c r="A206" s="143" t="s">
        <v>356</v>
      </c>
      <c r="B206" s="143"/>
      <c r="C206" s="143"/>
      <c r="D206" s="143"/>
      <c r="E206" s="143"/>
      <c r="F206" s="143"/>
      <c r="G206" s="143"/>
      <c r="H206" s="143"/>
      <c r="I206" s="143"/>
      <c r="J206" s="143" t="str">
        <f t="shared" si="10"/>
        <v>-</v>
      </c>
      <c r="K206" s="148">
        <f t="shared" si="8"/>
        <v>0</v>
      </c>
      <c r="L206" s="143" t="str">
        <f t="shared" si="9"/>
        <v>не нужно</v>
      </c>
    </row>
    <row r="207" spans="1:12">
      <c r="A207"/>
      <c r="B207"/>
      <c r="C207"/>
      <c r="D207"/>
      <c r="E207"/>
      <c r="F207"/>
      <c r="G207"/>
      <c r="H207"/>
      <c r="I207"/>
      <c r="J207"/>
      <c r="K207"/>
      <c r="L207"/>
    </row>
    <row r="208" spans="1:12">
      <c r="A208"/>
      <c r="B208"/>
      <c r="C208"/>
      <c r="D208"/>
      <c r="E208"/>
      <c r="F208"/>
      <c r="G208"/>
      <c r="H208"/>
      <c r="I208"/>
      <c r="J208"/>
      <c r="K208"/>
      <c r="L208"/>
    </row>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sheetData>
  <conditionalFormatting sqref="A4:A50">
    <cfRule type="duplicateValues" dxfId="30" priority="28"/>
  </conditionalFormatting>
  <conditionalFormatting sqref="L4:L51 L53:L96 L98:L122 L124:L154 L161:L179 L159 L181:L206">
    <cfRule type="cellIs" dxfId="29" priority="25" operator="equal">
      <formula>$O$6</formula>
    </cfRule>
    <cfRule type="cellIs" dxfId="28" priority="26" operator="equal">
      <formula>$O$5</formula>
    </cfRule>
    <cfRule type="cellIs" dxfId="27" priority="27" operator="equal">
      <formula>$O$4</formula>
    </cfRule>
  </conditionalFormatting>
  <conditionalFormatting sqref="L4:L51 L159">
    <cfRule type="cellIs" dxfId="26" priority="24" operator="equal">
      <formula>$O$2</formula>
    </cfRule>
  </conditionalFormatting>
  <conditionalFormatting sqref="L53:L96">
    <cfRule type="cellIs" dxfId="25" priority="23" operator="equal">
      <formula>$O$2</formula>
    </cfRule>
  </conditionalFormatting>
  <conditionalFormatting sqref="L98:L122">
    <cfRule type="cellIs" dxfId="24" priority="22" operator="equal">
      <formula>$O$2</formula>
    </cfRule>
  </conditionalFormatting>
  <conditionalFormatting sqref="L124:L154">
    <cfRule type="cellIs" dxfId="23" priority="21" operator="equal">
      <formula>$O$2</formula>
    </cfRule>
  </conditionalFormatting>
  <conditionalFormatting sqref="L161:L179">
    <cfRule type="cellIs" dxfId="22" priority="20" operator="equal">
      <formula>$O$2</formula>
    </cfRule>
  </conditionalFormatting>
  <conditionalFormatting sqref="L181:L196">
    <cfRule type="cellIs" dxfId="21" priority="19" operator="equal">
      <formula>$O$2</formula>
    </cfRule>
  </conditionalFormatting>
  <conditionalFormatting sqref="A111:A113">
    <cfRule type="expression" dxfId="20" priority="18">
      <formula>B111="+"</formula>
    </cfRule>
  </conditionalFormatting>
  <conditionalFormatting sqref="A111:A113">
    <cfRule type="cellIs" dxfId="19" priority="17" operator="equal">
      <formula>0</formula>
    </cfRule>
  </conditionalFormatting>
  <conditionalFormatting sqref="A53:A96">
    <cfRule type="duplicateValues" dxfId="18" priority="29"/>
  </conditionalFormatting>
  <conditionalFormatting sqref="L155">
    <cfRule type="cellIs" dxfId="17" priority="14" operator="equal">
      <formula>$O$6</formula>
    </cfRule>
    <cfRule type="cellIs" dxfId="16" priority="15" operator="equal">
      <formula>$O$5</formula>
    </cfRule>
    <cfRule type="cellIs" dxfId="15" priority="16" operator="equal">
      <formula>$O$4</formula>
    </cfRule>
  </conditionalFormatting>
  <conditionalFormatting sqref="L155">
    <cfRule type="cellIs" dxfId="14" priority="13" operator="equal">
      <formula>$O$2</formula>
    </cfRule>
  </conditionalFormatting>
  <conditionalFormatting sqref="L157">
    <cfRule type="cellIs" dxfId="13" priority="10" operator="equal">
      <formula>$O$6</formula>
    </cfRule>
    <cfRule type="cellIs" dxfId="12" priority="11" operator="equal">
      <formula>$O$5</formula>
    </cfRule>
    <cfRule type="cellIs" dxfId="11" priority="12" operator="equal">
      <formula>$O$4</formula>
    </cfRule>
  </conditionalFormatting>
  <conditionalFormatting sqref="L157">
    <cfRule type="cellIs" dxfId="10" priority="9" operator="equal">
      <formula>$O$2</formula>
    </cfRule>
  </conditionalFormatting>
  <conditionalFormatting sqref="L156">
    <cfRule type="cellIs" dxfId="9" priority="6" operator="equal">
      <formula>$O$6</formula>
    </cfRule>
    <cfRule type="cellIs" dxfId="8" priority="7" operator="equal">
      <formula>$O$5</formula>
    </cfRule>
    <cfRule type="cellIs" dxfId="7" priority="8" operator="equal">
      <formula>$O$4</formula>
    </cfRule>
  </conditionalFormatting>
  <conditionalFormatting sqref="L156">
    <cfRule type="cellIs" dxfId="6" priority="5" operator="equal">
      <formula>$O$2</formula>
    </cfRule>
  </conditionalFormatting>
  <conditionalFormatting sqref="L158">
    <cfRule type="cellIs" dxfId="5" priority="2" operator="equal">
      <formula>$O$6</formula>
    </cfRule>
    <cfRule type="cellIs" dxfId="4" priority="3" operator="equal">
      <formula>$O$5</formula>
    </cfRule>
    <cfRule type="cellIs" dxfId="3" priority="4" operator="equal">
      <formula>$O$4</formula>
    </cfRule>
  </conditionalFormatting>
  <conditionalFormatting sqref="L158">
    <cfRule type="cellIs" dxfId="2" priority="1" operator="equal">
      <formula>$O$2</formula>
    </cfRule>
  </conditionalFormatting>
  <conditionalFormatting sqref="B4:J206">
    <cfRule type="cellIs" dxfId="1" priority="30" operator="equal">
      <formula>"+"</formula>
    </cfRule>
    <cfRule type="expression" dxfId="0" priority="31">
      <formula>AND(B4="+",$K4&gt;=5)</formula>
    </cfRule>
  </conditionalFormatting>
  <dataValidations count="1">
    <dataValidation type="list" allowBlank="1" showInputMessage="1" showErrorMessage="1" sqref="B4:J206" xr:uid="{00000000-0002-0000-0300-000000000000}">
      <formula1>$Q$2:$Q$4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vt:i4>
      </vt:variant>
      <vt:variant>
        <vt:lpstr>Именованные диапазоны</vt:lpstr>
      </vt:variant>
      <vt:variant>
        <vt:i4>14</vt:i4>
      </vt:variant>
    </vt:vector>
  </HeadingPairs>
  <TitlesOfParts>
    <vt:vector size="19" baseType="lpstr">
      <vt:lpstr>Чек-лист ФЛАГМАН</vt:lpstr>
      <vt:lpstr>МИНИ чек-лист</vt:lpstr>
      <vt:lpstr>Полезные сервисы</vt:lpstr>
      <vt:lpstr>Важные уроки</vt:lpstr>
      <vt:lpstr>Ваша заполненная таблица КФ</vt:lpstr>
      <vt:lpstr>Анализ_на_базе_результатов_Спайдера</vt:lpstr>
      <vt:lpstr>Вебмастер</vt:lpstr>
      <vt:lpstr>Внешняя_оптимизация</vt:lpstr>
      <vt:lpstr>Для_интернет_магазинов</vt:lpstr>
      <vt:lpstr>Для_информационных_сайтов</vt:lpstr>
      <vt:lpstr>Для_сайтов_услуг</vt:lpstr>
      <vt:lpstr>Дополнительно</vt:lpstr>
      <vt:lpstr>Метрика</vt:lpstr>
      <vt:lpstr>Настройка_сайта</vt:lpstr>
      <vt:lpstr>Начало</vt:lpstr>
      <vt:lpstr>Проблема</vt:lpstr>
      <vt:lpstr>Релевантность_шаблонов</vt:lpstr>
      <vt:lpstr>Смотрим_сайт_и_используем_сторонние_сервисы</vt:lpstr>
      <vt:lpstr>Советы_по_типам_сайтов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dc:creator>
  <cp:lastModifiedBy>Web Developer &amp; SEO;</cp:lastModifiedBy>
  <dcterms:created xsi:type="dcterms:W3CDTF">2021-09-26T14:51:20Z</dcterms:created>
  <dcterms:modified xsi:type="dcterms:W3CDTF">2023-05-07T19:17:53Z</dcterms:modified>
</cp:coreProperties>
</file>